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leader/git/cea/source/bind/excel/"/>
    </mc:Choice>
  </mc:AlternateContent>
  <xr:revisionPtr revIDLastSave="0" documentId="13_ncr:1_{088FC34C-94B3-E042-9447-5F832583DA82}" xr6:coauthVersionLast="47" xr6:coauthVersionMax="47" xr10:uidLastSave="{00000000-0000-0000-0000-000000000000}"/>
  <bookViews>
    <workbookView xWindow="20" yWindow="660" windowWidth="34560" windowHeight="19880" activeTab="1" xr2:uid="{6DDA0175-8551-0843-8446-83CA4716134A}"/>
  </bookViews>
  <sheets>
    <sheet name="README" sheetId="1" r:id="rId1"/>
    <sheet name="Equilibrium" sheetId="2" r:id="rId2"/>
    <sheet name="Rocket" sheetId="3" r:id="rId3"/>
    <sheet name="Shock" sheetId="4" r:id="rId4"/>
    <sheet name="Detonation" sheetId="5" r:id="rId5"/>
  </sheets>
  <functionGroups builtInGroupCount="19"/>
  <calcPr calcId="181029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<sst xmlns="http://schemas.openxmlformats.org/spreadsheetml/2006/main" count="1" uniqueCount="1">
  <si>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problem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</si>
</sst>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E+00"/>
  </numFmts>
  <fonts count="5" x14ac:knownFonts="1">
    <font>
      <sz val="12"/>
      <color theme="1"/>
      <name val="Aptos Narrow"/>
      <family val="2"/>
      <scheme val="minor"/>
    </font>
    <font>
      <b/>
      <sz val="14"/>
      <color rgb="FFFFFFFF"/>
      <name val="Aptos Narrow"/>
    </font>
    <font>
      <b/>
      <sz val="12"/>
      <color rgb="FFFFFFFF"/>
      <name val="Aptos Narrow"/>
    </font>
    <font>
      <b/>
      <sz val="12"/>
      <color rgb="FF000000"/>
      <name val="Aptos Narrow"/>
    </font>
    <font>
      <i/>
      <sz val="11"/>
      <color rgb="FF4B5563"/>
      <name val="Aptos Narrow"/>
    </font>
  </fonts>
  <fills count="7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F0D9"/>
        <bgColor indexed="64"/>
      </patternFill>
    </fill>
  </fills>
  <borders count="2">
    <border>
      <left/>
      <right/>
      <top/>
      <bottom/>
      <diagonal/>
    </border>
    <border>
      <left style="thin">
        <color rgb="FFD9E2EC"/>
      </left>
      <right style="thin">
        <color rgb="FFD9E2EC"/>
      </right>
      <top style="thin">
        <color rgb="FFD9E2EC"/>
      </top>
      <bottom style="thin">
        <color rgb="FFD9E2EC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0" fontId="2" fillId="3" borderId="1" xfId="0" applyFont="1" applyFill="1" applyBorder="1"/>
    <xf numFmtId="0" fontId="3" fillId="4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4" fillId="0" borderId="0" xfId="0" applyFont="1"/>
    <xf numFmtId="164" fontId="0" fillId="0" borderId="1" xfId="0" applyNumberFormat="1" applyBorder="1"/>
    <xf numFmtId="165" fontId="0" fillId="0" borderId="1" xfId="0" applyNumberForma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1</xdr:row>
          <xdr:rowOff>127000</xdr:rowOff>
        </xdr:from>
        <xdr:to>
          <xdr:col>6</xdr:col>
          <xdr:colOff>508000</xdr:colOff>
          <xdr:row>3</xdr:row>
          <xdr:rowOff>50800</xdr:rowOff>
        </xdr:to>
        <xdr:sp macro="" textlink="">
          <xdr:nvSpPr>
            <xdr:cNvPr id="1025" name="Button 1" descr="Initialize version number and load librari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G11"/>
  <sheetViews>
    <sheetView workbookViewId="0"/>
  </sheetViews>
  <sheetFormatPr baseColWidth="10" defaultRowHeight="16" x14ac:dyDescent="0.2"/>
  <cols>
    <col min="1" max="1" width="28" customWidth="1"/>
    <col min="2" max="2" width="24" customWidth="1"/>
    <col min="3" max="3" width="3" customWidth="1"/>
    <col min="4" max="4" width="24" customWidth="1"/>
    <col min="5" max="5" width="28" customWidth="1"/>
    <col min="6" max="6" width="13" customWidth="1"/>
    <col min="7" max="7" width="13" customWidth="1"/>
  </cols>
  <sheetData>
    <row r="1" spans="1:1" x14ac:dyDescent="0.2">
      <c r="A1" t="inlineStr" s="1">
        <is>
          <t>CEA Excel wrapper smoke test</t>
        </is>
      </c>
    </row>
    <row r="2" spans="1:5" x14ac:dyDescent="0.2">
      <c r="A2" t="inlineStr" s="3">
        <is>
          <t>Detected CEA version:</t>
        </is>
      </c>
      <c r="B2" t="inlineStr" s="4">
        <is>
          <t>Click init button</t>
        </is>
      </c>
      <c r="D2" t="inlineStr" s="3">
        <is>
          <t>Live CEA_VERSION():</t>
        </is>
      </c>
      <c r="E2" s="5">
        <f>CEA_VERSION()</f>
      </c>
    </row>
    <row r="3" spans="1:5" x14ac:dyDescent="0.2">
      <c r="A3" t="inlineStr" s="3">
        <is>
          <t>Status:</t>
        </is>
      </c>
      <c r="B3" t="inlineStr" s="4">
        <is>
          <t/>
        </is>
      </c>
      <c r="D3" t="inlineStr" s="3">
        <is>
          <t>CEA_LAST_ERROR():</t>
        </is>
      </c>
      <c r="E3" s="5">
        <f>CEA_LAST_ERROR()</f>
      </c>
    </row>
    <row r="5" spans="1:2" x14ac:dyDescent="0.2">
      <c r="A5" t="inlineStr" s="3">
        <is>
          <t>cea_excel_test_add(2, 3):</t>
        </is>
      </c>
      <c r="B5" t="inlineStr" s="4">
        <is>
          <t/>
        </is>
      </c>
    </row>
    <row r="6" spans="1:1" x14ac:dyDescent="0.2">
      <c r="A6" t="inlineStr" s="2">
        <is>
          <t>Setup note</t>
        </is>
      </c>
    </row>
    <row r="7" spans="1:1" x14ac:dyDescent="0.2">
      <c r="A7" t="inlineStr" s="6">
        <is>
          <t>Build cea_excel.dll and place it beside this workbook, or under lib/, lib/Release/, or Release/. Keep native DLL dependencies in the same folder.</t>
        </is>
      </c>
    </row>
    <row r="8" spans="1:1" x14ac:dyDescent="0.2">
      <c r="A8" t="inlineStr" s="6">
        <is>
          <t>The Excel wrapper initializes the native CEA library through version/solve calls. This first-pass workbook does not add separate thermo.lib or trans.lib import controls.</t>
        </is>
      </c>
    </row>
    <row r="10" spans="1:1" x14ac:dyDescent="0.2">
      <c r="A10" t="inlineStr" s="2">
        <is>
          <t>Supported runtime</t>
        </is>
      </c>
    </row>
    <row r="11" spans="1:1" x14ac:dyDescent="0.2">
      <c r="A11" t="inlineStr" s="6">
        <is>
          <t>64-bit Windows Excel/VBA. macOS Excel is intentionally not supported by this workbook.</t>
        </is>
      </c>
    </row>
  </sheetData>
  <mergeCells count="3">
    <mergeCell ref="A7:G7"/>
    <mergeCell ref="A8:G8"/>
    <mergeCell ref="A11:G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WriteCEAVersionToReadme" altText="Initialize version number and load libraries">
                <anchor moveWithCells="1" sizeWithCells="1">
                  <from>
                    <xdr:col>5</xdr:col>
                    <xdr:colOff>127000</xdr:colOff>
                    <xdr:row>1</xdr:row>
                    <xdr:rowOff>127000</xdr:rowOff>
                  </from>
                  <to>
                    <xdr:col>6</xdr:col>
                    <xdr:colOff>508000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BJ47"/>
  <sheetViews>
    <sheetView workbookViewId="0">
      <selection/>
    </sheetView>
  </sheetViews>
  <sheetFormatPr baseColWidth="10" defaultRowHeight="16" x14ac:dyDescent="0.2"/>
  <cols>
    <col min="1" max="1" width="16" customWidth="1"/>
    <col min="2" max="2" width="12" customWidth="1"/>
    <col min="3" max="3" width="14" customWidth="1"/>
    <col min="4" max="4" width="11" customWidth="1"/>
    <col min="5" max="5" width="11" customWidth="1"/>
    <col min="6" max="6" width="12" customWidth="1"/>
    <col min="7" max="7" width="11" customWidth="1"/>
    <col min="8" max="8" width="12" customWidth="1"/>
    <col min="9" max="9" width="22" customWidth="1"/>
    <col min="10" max="10" width="14" customWidth="1"/>
    <col min="11" max="11" width="14" customWidth="1"/>
    <col min="12" max="12" width="14" customWidth="1"/>
    <col min="13" max="13" width="14" customWidth="1"/>
    <col min="14" max="14" width="14" customWidth="1"/>
    <col min="15" max="15" width="14" customWidth="1"/>
    <col min="16" max="16" width="14" customWidth="1"/>
    <col min="17" max="17" width="14" customWidth="1"/>
    <col min="18" max="18" width="14" customWidth="1"/>
    <col min="19" max="19" width="14" customWidth="1"/>
    <col min="20" max="20" width="14" customWidth="1"/>
    <col min="21" max="21" width="14" customWidth="1"/>
    <col min="22" max="22" width="14" customWidth="1"/>
    <col min="23" max="23" width="14" customWidth="1"/>
    <col min="24" max="24" width="14" customWidth="1"/>
    <col min="25" max="25" width="14" customWidth="1"/>
    <col min="26" max="26" width="14" customWidth="1"/>
    <col min="27" max="27" width="14" customWidth="1"/>
    <col min="28" max="28" width="14" customWidth="1"/>
    <col min="29" max="29" width="14" customWidth="1"/>
    <col min="30" max="30" width="14" customWidth="1"/>
    <col min="31" max="31" width="14" customWidth="1"/>
    <col min="32" max="32" width="14" customWidth="1"/>
    <col min="33" max="33" width="14" customWidth="1"/>
    <col min="34" max="34" width="14" customWidth="1"/>
    <col min="35" max="35" width="14" customWidth="1"/>
    <col min="36" max="36" width="14" customWidth="1"/>
    <col min="37" max="37" width="14" customWidth="1"/>
    <col min="38" max="38" width="14" customWidth="1"/>
    <col min="39" max="39" width="14" customWidth="1"/>
    <col min="40" max="40" width="14" customWidth="1"/>
    <col min="41" max="41" width="14" customWidth="1"/>
    <col min="42" max="42" width="14" customWidth="1"/>
    <col min="43" max="43" width="14" customWidth="1"/>
    <col min="44" max="44" width="14" customWidth="1"/>
    <col min="45" max="45" width="14" customWidth="1"/>
    <col min="46" max="46" width="14" customWidth="1"/>
    <col min="47" max="47" width="14" customWidth="1"/>
    <col min="48" max="48" width="14" customWidth="1"/>
    <col min="49" max="49" width="14" customWidth="1"/>
    <col min="50" max="50" width="14" customWidth="1"/>
    <col min="51" max="51" width="14" customWidth="1"/>
    <col min="52" max="52" width="14" customWidth="1"/>
    <col min="53" max="53" width="14" customWidth="1"/>
    <col min="54" max="54" width="14" customWidth="1"/>
    <col min="55" max="55" width="14" customWidth="1"/>
    <col min="56" max="56" width="14" customWidth="1"/>
    <col min="57" max="57" width="14" customWidth="1"/>
    <col min="58" max="58" width="14" customWidth="1"/>
    <col min="59" max="59" width="14" customWidth="1"/>
    <col min="60" max="60" width="14" customWidth="1"/>
    <col min="61" max="61" width="14" customWidth="1"/>
    <col min="62" max="62" width="14" customWidth="1"/>
    <col min="63" max="63" width="14" customWidth="1"/>
    <col min="64" max="64" width="14" customWidth="1"/>
    <col min="65" max="65" width="14" customWidth="1"/>
  </cols>
  <sheetData>
    <row r="1" spans="1:2" x14ac:dyDescent="0.2">
      <c r="A1" t="inlineStr" s="3">
        <is>
          <t>problem type</t>
        </is>
      </c>
      <c r="B1" t="inlineStr" s="4">
        <is>
          <t>TP</t>
        </is>
      </c>
    </row>
    <row r="2" spans="1:2" x14ac:dyDescent="0.2">
      <c r="A2" t="inlineStr" s="3">
        <is>
          <t>reference</t>
        </is>
      </c>
      <c r="B2" t="inlineStr" s="6">
        <is>
          <t>RP-1311 Example 1: H2/Air TP equilibrium</t>
        </is>
      </c>
    </row>
    <row r="3" spans="1:2" x14ac:dyDescent="0.2">
      <c r="A3" t="inlineStr" s="3">
        <is>
          <t>transport</t>
        </is>
      </c>
      <c r="B3" t="b" s="4">
        <v>0</v>
      </c>
    </row>
    <row r="4" spans="1:2" x14ac:dyDescent="0.2">
      <c r="A4" t="inlineStr" s="3">
        <is>
          <t>ions</t>
        </is>
      </c>
      <c r="B4" t="b" s="4">
        <v>0</v>
      </c>
    </row>
    <row r="5" spans="1:2" x14ac:dyDescent="0.2">
      <c r="A5" t="inlineStr" s="3">
        <is>
          <t>include_headers</t>
        </is>
      </c>
      <c r="B5" t="b" s="4">
        <v>0</v>
      </c>
    </row>
    <row r="6" spans="1:6" x14ac:dyDescent="0.2">
      <c r="A6" t="inlineStr" s="2">
        <is>
          <t>Reactants</t>
        </is>
      </c>
      <c r="F6" t="inlineStr" s="2">
        <is>
          <t>Fixed fuel/oxidizer composition</t>
        </is>
      </c>
    </row>
    <row r="7" spans="1:8" x14ac:dyDescent="0.2">
      <c r="A7" t="inlineStr" s="3">
        <is>
          <t>name</t>
        </is>
      </c>
      <c r="B7" t="inlineStr" s="3">
        <is>
          <t>role</t>
        </is>
      </c>
      <c r="C7" t="inlineStr" s="3">
        <is>
          <t>base_amount</t>
        </is>
      </c>
      <c r="D7" t="inlineStr" s="3">
        <is>
          <t>basis</t>
        </is>
      </c>
      <c r="F7" t="inlineStr" s="3">
        <is>
          <t>group</t>
        </is>
      </c>
      <c r="G7" t="inlineStr" s="3">
        <is>
          <t>base amount</t>
        </is>
      </c>
      <c r="H7" t="inlineStr" s="3">
        <is>
          <t>base weight</t>
        </is>
      </c>
    </row>
    <row r="8" spans="1:8" x14ac:dyDescent="0.2">
      <c r="A8" t="inlineStr" s="4">
        <is>
          <t>H2</t>
        </is>
      </c>
      <c r="B8" t="inlineStr" s="4">
        <is>
          <t>fuel</t>
        </is>
      </c>
      <c r="C8" s="4">
        <v>1.0</v>
      </c>
      <c r="D8" t="inlineStr" s="4">
        <is>
          <t>mole</t>
        </is>
      </c>
      <c r="F8" t="inlineStr" s="4">
        <is>
          <t>fuel</t>
        </is>
      </c>
      <c r="G8" s="5">
        <f>SUMIF($B$8:$B$9,F8,$C$8:$C$9)</f>
      </c>
      <c r="H8" s="5">
        <f>INDEX(CEA_WEIGHTS_FROM_MOLES($A$7:$D$9,$C$8:$C$9),1,1)</f>
      </c>
    </row>
    <row r="9" spans="1:8" x14ac:dyDescent="0.2">
      <c r="A9" t="inlineStr" s="4">
        <is>
          <t>Air</t>
        </is>
      </c>
      <c r="B9" t="inlineStr" s="4">
        <is>
          <t>oxidizer</t>
        </is>
      </c>
      <c r="C9" s="4">
        <v>1.0</v>
      </c>
      <c r="D9" t="inlineStr" s="4">
        <is>
          <t>mole</t>
        </is>
      </c>
      <c r="F9" t="inlineStr" s="4">
        <is>
          <t>oxidizer</t>
        </is>
      </c>
      <c r="G9" s="5">
        <f>SUMIF($B$8:$B$9,F9,$C$8:$C$9)</f>
      </c>
      <c r="H9" s="5">
        <f>INDEX(CEA_WEIGHTS_FROM_MOLES($A$7:$D$9,$C$8:$C$9),1,2)</f>
      </c>
    </row>
    <row r="11" spans="1:5" x14ac:dyDescent="0.2">
      <c r="A11" t="inlineStr" s="2">
        <is>
          <t>Requested properties</t>
        </is>
      </c>
      <c r="C11" t="inlineStr" s="2">
        <is>
          <t>Product species</t>
        </is>
      </c>
      <c r="E11" t="inlineStr" s="2">
        <is>
          <t>Notes</t>
        </is>
      </c>
    </row>
    <row r="12" spans="1:5" x14ac:dyDescent="0.2">
      <c r="A12" t="inlineStr" s="4">
        <is>
          <t>density</t>
        </is>
      </c>
      <c r="C12" t="inlineStr" s="4">
        <is>
          <t>Ar</t>
        </is>
      </c>
      <c r="E12" t="inlineStr" s="6">
        <is>
          <t>Sweep rows use equivalence ratio -&gt; O/F helper, pressure conversion to bar, then CEA_TP_SOLVE.</t>
        </is>
      </c>
    </row>
    <row r="13" spans="1:5" x14ac:dyDescent="0.2">
      <c r="A13" t="inlineStr" s="4">
        <is>
          <t>volume</t>
        </is>
      </c>
      <c r="C13" t="inlineStr" s="4">
        <is>
          <t>C</t>
        </is>
      </c>
      <c r="E13" t="inlineStr" s="6">
        <is>
          <t>Edit yellow cells or copy formulas downward for additional sweeps. Reactant names and group composition are global.</t>
        </is>
      </c>
    </row>
    <row r="14" spans="1:5" x14ac:dyDescent="0.2">
      <c r="A14" t="inlineStr" s="4">
        <is>
          <t>enthalpy</t>
        </is>
      </c>
      <c r="C14" t="inlineStr" s="4">
        <is>
          <t>CO</t>
        </is>
      </c>
      <c r="E14" t="inlineStr" s="6">
        <is>
          <t>Solve output spills horizontally from the status column when opened in supported Windows Excel.</t>
        </is>
      </c>
    </row>
    <row r="15" spans="1:3" x14ac:dyDescent="0.2">
      <c r="A15" t="inlineStr" s="4">
        <is>
          <t>energy</t>
        </is>
      </c>
      <c r="C15" t="inlineStr" s="4">
        <is>
          <t>CO2</t>
        </is>
      </c>
    </row>
    <row r="16" spans="1:3" x14ac:dyDescent="0.2">
      <c r="A16" t="inlineStr" s="4">
        <is>
          <t>gibbs_energy</t>
        </is>
      </c>
      <c r="C16" t="inlineStr" s="4">
        <is>
          <t>H</t>
        </is>
      </c>
    </row>
    <row r="17" spans="1:3" x14ac:dyDescent="0.2">
      <c r="A17" t="inlineStr" s="4">
        <is>
          <t>entropy</t>
        </is>
      </c>
      <c r="C17" t="inlineStr" s="4">
        <is>
          <t>H2</t>
        </is>
      </c>
    </row>
    <row r="18" spans="1:3" x14ac:dyDescent="0.2">
      <c r="A18" t="inlineStr" s="4">
        <is>
          <t>M</t>
        </is>
      </c>
      <c r="C18" t="inlineStr" s="4">
        <is>
          <t>H2O</t>
        </is>
      </c>
    </row>
    <row r="19" spans="1:3" x14ac:dyDescent="0.2">
      <c r="A19" t="inlineStr" s="4">
        <is>
          <t>MW</t>
        </is>
      </c>
      <c r="C19" t="inlineStr" s="4">
        <is>
          <t>HNO</t>
        </is>
      </c>
    </row>
    <row r="20" spans="1:3" x14ac:dyDescent="0.2">
      <c r="A20" t="inlineStr" s="4">
        <is>
          <t>gamma_s</t>
        </is>
      </c>
      <c r="C20" t="inlineStr" s="4">
        <is>
          <t>HO2</t>
        </is>
      </c>
    </row>
    <row r="21" spans="1:3" x14ac:dyDescent="0.2">
      <c r="A21" t="inlineStr" s="4">
        <is>
          <t>cp_eq</t>
        </is>
      </c>
      <c r="C21" t="inlineStr" s="4">
        <is>
          <t>HNO2</t>
        </is>
      </c>
    </row>
    <row r="22" spans="1:3" x14ac:dyDescent="0.2">
      <c r="A22" t="inlineStr" s="4">
        <is>
          <t>cp_fr</t>
        </is>
      </c>
      <c r="C22" t="inlineStr" s="4">
        <is>
          <t>HNO3</t>
        </is>
      </c>
    </row>
    <row r="23" spans="1:3" x14ac:dyDescent="0.2">
      <c r="A23" t="inlineStr" s="4">
        <is>
          <t>cv_eq</t>
        </is>
      </c>
      <c r="C23" t="inlineStr" s="4">
        <is>
          <t>N</t>
        </is>
      </c>
    </row>
    <row r="24" spans="1:3" x14ac:dyDescent="0.2">
      <c r="A24" t="inlineStr" s="4">
        <is>
          <t>cv_fr</t>
        </is>
      </c>
      <c r="C24" t="inlineStr" s="4">
        <is>
          <t>NH</t>
        </is>
      </c>
    </row>
    <row r="25" spans="3:3" x14ac:dyDescent="0.2">
      <c r="C25" t="inlineStr" s="4">
        <is>
          <t>NO</t>
        </is>
      </c>
    </row>
    <row r="26" spans="3:3" x14ac:dyDescent="0.2">
      <c r="C26" t="inlineStr" s="4">
        <is>
          <t>N2</t>
        </is>
      </c>
    </row>
    <row r="27" spans="3:3" x14ac:dyDescent="0.2">
      <c r="C27" t="inlineStr" s="4">
        <is>
          <t>N2O3</t>
        </is>
      </c>
    </row>
    <row r="28" spans="3:3" x14ac:dyDescent="0.2">
      <c r="C28" t="inlineStr" s="4">
        <is>
          <t>O</t>
        </is>
      </c>
    </row>
    <row r="29" spans="3:3" x14ac:dyDescent="0.2">
      <c r="C29" t="inlineStr" s="4">
        <is>
          <t>O2</t>
        </is>
      </c>
    </row>
    <row r="30" spans="3:3" x14ac:dyDescent="0.2">
      <c r="C30" t="inlineStr" s="4">
        <is>
          <t>OH</t>
        </is>
      </c>
    </row>
    <row r="31" spans="3:3" x14ac:dyDescent="0.2">
      <c r="C31" t="inlineStr" s="4">
        <is>
          <t>O3</t>
        </is>
      </c>
    </row>
    <row r="35" spans="1:62" x14ac:dyDescent="0.2">
      <c r="A35" t="inlineStr" s="3">
        <is>
          <t>case</t>
        </is>
      </c>
      <c r="B35" t="inlineStr" s="3">
        <is>
          <t>r_eq</t>
        </is>
      </c>
      <c r="C35" t="inlineStr" s="3">
        <is>
          <t>o/f ratio</t>
        </is>
      </c>
      <c r="D35" t="inlineStr" s="3">
        <is>
          <t>T, K</t>
        </is>
      </c>
      <c r="E35" t="inlineStr" s="3">
        <is>
          <t>P, atm</t>
        </is>
      </c>
      <c r="F35" t="inlineStr" s="3">
        <is>
          <t>P, bar</t>
        </is>
      </c>
      <c r="G35" t="inlineStr" s="3">
        <is>
          <t>status</t>
        </is>
      </c>
      <c r="H35" t="inlineStr" s="3">
        <is>
          <t>converged</t>
        </is>
      </c>
      <c r="I35" t="inlineStr" s="3">
        <is>
          <t>message</t>
        </is>
      </c>
      <c r="J35" t="inlineStr" s="3">
        <is>
          <t>density</t>
        </is>
      </c>
      <c r="K35" t="inlineStr" s="3">
        <is>
          <t>volume</t>
        </is>
      </c>
      <c r="L35" t="inlineStr" s="3">
        <is>
          <t>enthalpy</t>
        </is>
      </c>
      <c r="M35" t="inlineStr" s="3">
        <is>
          <t>energy</t>
        </is>
      </c>
      <c r="N35" t="inlineStr" s="3">
        <is>
          <t>gibbs_energy</t>
        </is>
      </c>
      <c r="O35" t="inlineStr" s="3">
        <is>
          <t>entropy</t>
        </is>
      </c>
      <c r="P35" t="inlineStr" s="3">
        <is>
          <t>M</t>
        </is>
      </c>
      <c r="Q35" t="inlineStr" s="3">
        <is>
          <t>MW</t>
        </is>
      </c>
      <c r="R35" t="inlineStr" s="3">
        <is>
          <t>gamma_s</t>
        </is>
      </c>
      <c r="S35" t="inlineStr" s="3">
        <is>
          <t>cp_eq</t>
        </is>
      </c>
      <c r="T35" t="inlineStr" s="3">
        <is>
          <t>cp_fr</t>
        </is>
      </c>
      <c r="U35" t="inlineStr" s="3">
        <is>
          <t>cv_eq</t>
        </is>
      </c>
      <c r="V35" t="inlineStr" s="3">
        <is>
          <t>cv_fr</t>
        </is>
      </c>
      <c r="W35" t="inlineStr" s="3">
        <is>
          <t>mass_Ar</t>
        </is>
      </c>
      <c r="X35" t="inlineStr" s="3">
        <is>
          <t>mole_Ar</t>
        </is>
      </c>
      <c r="Y35" t="inlineStr" s="3">
        <is>
          <t>mass_C</t>
        </is>
      </c>
      <c r="Z35" t="inlineStr" s="3">
        <is>
          <t>mole_C</t>
        </is>
      </c>
      <c r="AA35" t="inlineStr" s="3">
        <is>
          <t>mass_CO</t>
        </is>
      </c>
      <c r="AB35" t="inlineStr" s="3">
        <is>
          <t>mole_CO</t>
        </is>
      </c>
      <c r="AC35" t="inlineStr" s="3">
        <is>
          <t>mass_CO2</t>
        </is>
      </c>
      <c r="AD35" t="inlineStr" s="3">
        <is>
          <t>mole_CO2</t>
        </is>
      </c>
      <c r="AE35" t="inlineStr" s="3">
        <is>
          <t>mass_H</t>
        </is>
      </c>
      <c r="AF35" t="inlineStr" s="3">
        <is>
          <t>mole_H</t>
        </is>
      </c>
      <c r="AG35" t="inlineStr" s="3">
        <is>
          <t>mass_H2</t>
        </is>
      </c>
      <c r="AH35" t="inlineStr" s="3">
        <is>
          <t>mole_H2</t>
        </is>
      </c>
      <c r="AI35" t="inlineStr" s="3">
        <is>
          <t>mass_H2O</t>
        </is>
      </c>
      <c r="AJ35" t="inlineStr" s="3">
        <is>
          <t>mole_H2O</t>
        </is>
      </c>
      <c r="AK35" t="inlineStr" s="3">
        <is>
          <t>mass_HNO</t>
        </is>
      </c>
      <c r="AL35" t="inlineStr" s="3">
        <is>
          <t>mole_HNO</t>
        </is>
      </c>
      <c r="AM35" t="inlineStr" s="3">
        <is>
          <t>mass_HO2</t>
        </is>
      </c>
      <c r="AN35" t="inlineStr" s="3">
        <is>
          <t>mole_HO2</t>
        </is>
      </c>
      <c r="AO35" t="inlineStr" s="3">
        <is>
          <t>mass_HNO2</t>
        </is>
      </c>
      <c r="AP35" t="inlineStr" s="3">
        <is>
          <t>mole_HNO2</t>
        </is>
      </c>
      <c r="AQ35" t="inlineStr" s="3">
        <is>
          <t>mass_HNO3</t>
        </is>
      </c>
      <c r="AR35" t="inlineStr" s="3">
        <is>
          <t>mole_HNO3</t>
        </is>
      </c>
      <c r="AS35" t="inlineStr" s="3">
        <is>
          <t>mass_N</t>
        </is>
      </c>
      <c r="AT35" t="inlineStr" s="3">
        <is>
          <t>mole_N</t>
        </is>
      </c>
      <c r="AU35" t="inlineStr" s="3">
        <is>
          <t>mass_NH</t>
        </is>
      </c>
      <c r="AV35" t="inlineStr" s="3">
        <is>
          <t>mole_NH</t>
        </is>
      </c>
      <c r="AW35" t="inlineStr" s="3">
        <is>
          <t>mass_NO</t>
        </is>
      </c>
      <c r="AX35" t="inlineStr" s="3">
        <is>
          <t>mole_NO</t>
        </is>
      </c>
      <c r="AY35" t="inlineStr" s="3">
        <is>
          <t>mass_N2</t>
        </is>
      </c>
      <c r="AZ35" t="inlineStr" s="3">
        <is>
          <t>mole_N2</t>
        </is>
      </c>
      <c r="BA35" t="inlineStr" s="3">
        <is>
          <t>mass_N2O3</t>
        </is>
      </c>
      <c r="BB35" t="inlineStr" s="3">
        <is>
          <t>mole_N2O3</t>
        </is>
      </c>
      <c r="BC35" t="inlineStr" s="3">
        <is>
          <t>mass_O</t>
        </is>
      </c>
      <c r="BD35" t="inlineStr" s="3">
        <is>
          <t>mole_O</t>
        </is>
      </c>
      <c r="BE35" t="inlineStr" s="3">
        <is>
          <t>mass_O2</t>
        </is>
      </c>
      <c r="BF35" t="inlineStr" s="3">
        <is>
          <t>mole_O2</t>
        </is>
      </c>
      <c r="BG35" t="inlineStr" s="3">
        <is>
          <t>mass_OH</t>
        </is>
      </c>
      <c r="BH35" t="inlineStr" s="3">
        <is>
          <t>mole_OH</t>
        </is>
      </c>
      <c r="BI35" t="inlineStr" s="3">
        <is>
          <t>mass_O3</t>
        </is>
      </c>
      <c r="BJ35" t="inlineStr" s="3">
        <is>
          <t>mole_O3</t>
        </is>
      </c>
    </row>
    <row r="36" spans="1:62" x14ac:dyDescent="0.2">
      <c r="A36" s="9">
        <v>1</v>
      </c>
      <c r="B36" s="4">
        <v>1.0</v>
      </c>
      <c r="C36" s="5">
        <f>CEA_OF_FROM_EQUIVALENCE($A$7:$D$9,B36)</f>
      </c>
      <c r="D36" s="4">
        <v>3000.0</v>
      </c>
      <c r="E36" s="4">
        <v>1.0</v>
      </c>
      <c r="F36" s="5">
        <f>CEA_PRESSURE_SI(E36,"atm")</f>
      </c>
      <c r="G36" s="5">
        <f>INDEX(CEA_TP_SOLVE($A$7:$D$9,D36,F36,C36,,,,,,$A$12:$A$24,$C$12:$C$31,$B$3,$B$4,$B$5),1,1)</f>
      </c>
      <c r="H36" s="5">
        <f>INDEX(CEA_TP_SOLVE($A$7:$D$9,D36,F36,C36,,,,,,$A$12:$A$24,$C$12:$C$31,$B$3,$B$4,$B$5),1,2)</f>
      </c>
      <c r="I36" s="5">
        <f>INDEX(CEA_TP_SOLVE($A$7:$D$9,D36,F36,C36,,,,,,$A$12:$A$24,$C$12:$C$31,$B$3,$B$4,$B$5),1,3)</f>
      </c>
      <c r="J36" s="5">
        <f>INDEX(CEA_TP_SOLVE($A$7:$D$9,D36,F36,C36,,,,,,$A$12:$A$24,$C$12:$C$31,$B$3,$B$4,$B$5),1,4)</f>
      </c>
      <c r="K36" s="5">
        <f>INDEX(CEA_TP_SOLVE($A$7:$D$9,D36,F36,C36,,,,,,$A$12:$A$24,$C$12:$C$31,$B$3,$B$4,$B$5),1,5)</f>
      </c>
      <c r="L36" s="5">
        <f>INDEX(CEA_TP_SOLVE($A$7:$D$9,D36,F36,C36,,,,,,$A$12:$A$24,$C$12:$C$31,$B$3,$B$4,$B$5),1,6)</f>
      </c>
      <c r="M36" s="5">
        <f>INDEX(CEA_TP_SOLVE($A$7:$D$9,D36,F36,C36,,,,,,$A$12:$A$24,$C$12:$C$31,$B$3,$B$4,$B$5),1,7)</f>
      </c>
      <c r="N36" s="5">
        <f>INDEX(CEA_TP_SOLVE($A$7:$D$9,D36,F36,C36,,,,,,$A$12:$A$24,$C$12:$C$31,$B$3,$B$4,$B$5),1,8)</f>
      </c>
      <c r="O36" s="5">
        <f>INDEX(CEA_TP_SOLVE($A$7:$D$9,D36,F36,C36,,,,,,$A$12:$A$24,$C$12:$C$31,$B$3,$B$4,$B$5),1,9)</f>
      </c>
      <c r="P36" s="5">
        <f>INDEX(CEA_TP_SOLVE($A$7:$D$9,D36,F36,C36,,,,,,$A$12:$A$24,$C$12:$C$31,$B$3,$B$4,$B$5),1,10)</f>
      </c>
      <c r="Q36" s="5">
        <f>INDEX(CEA_TP_SOLVE($A$7:$D$9,D36,F36,C36,,,,,,$A$12:$A$24,$C$12:$C$31,$B$3,$B$4,$B$5),1,11)</f>
      </c>
      <c r="R36" s="5">
        <f>INDEX(CEA_TP_SOLVE($A$7:$D$9,D36,F36,C36,,,,,,$A$12:$A$24,$C$12:$C$31,$B$3,$B$4,$B$5),1,12)</f>
      </c>
      <c r="S36" s="5">
        <f>INDEX(CEA_TP_SOLVE($A$7:$D$9,D36,F36,C36,,,,,,$A$12:$A$24,$C$12:$C$31,$B$3,$B$4,$B$5),1,13)</f>
      </c>
      <c r="T36" s="5">
        <f>INDEX(CEA_TP_SOLVE($A$7:$D$9,D36,F36,C36,,,,,,$A$12:$A$24,$C$12:$C$31,$B$3,$B$4,$B$5),1,14)</f>
      </c>
      <c r="U36" s="5">
        <f>INDEX(CEA_TP_SOLVE($A$7:$D$9,D36,F36,C36,,,,,,$A$12:$A$24,$C$12:$C$31,$B$3,$B$4,$B$5),1,15)</f>
      </c>
      <c r="V36" s="5">
        <f>INDEX(CEA_TP_SOLVE($A$7:$D$9,D36,F36,C36,,,,,,$A$12:$A$24,$C$12:$C$31,$B$3,$B$4,$B$5),1,16)</f>
      </c>
      <c r="W36" s="5">
        <f>INDEX(CEA_TP_SOLVE($A$7:$D$9,D36,F36,C36,,,,,,$A$12:$A$24,$C$12:$C$31,$B$3,$B$4,$B$5),1,17)</f>
      </c>
      <c r="X36" s="5">
        <f>INDEX(CEA_TP_SOLVE($A$7:$D$9,D36,F36,C36,,,,,,$A$12:$A$24,$C$12:$C$31,$B$3,$B$4,$B$5),1,18)</f>
      </c>
      <c r="Y36" s="5">
        <f>INDEX(CEA_TP_SOLVE($A$7:$D$9,D36,F36,C36,,,,,,$A$12:$A$24,$C$12:$C$31,$B$3,$B$4,$B$5),1,19)</f>
      </c>
      <c r="Z36" s="5">
        <f>INDEX(CEA_TP_SOLVE($A$7:$D$9,D36,F36,C36,,,,,,$A$12:$A$24,$C$12:$C$31,$B$3,$B$4,$B$5),1,20)</f>
      </c>
      <c r="AA36" s="5">
        <f>INDEX(CEA_TP_SOLVE($A$7:$D$9,D36,F36,C36,,,,,,$A$12:$A$24,$C$12:$C$31,$B$3,$B$4,$B$5),1,21)</f>
      </c>
      <c r="AB36" s="5">
        <f>INDEX(CEA_TP_SOLVE($A$7:$D$9,D36,F36,C36,,,,,,$A$12:$A$24,$C$12:$C$31,$B$3,$B$4,$B$5),1,22)</f>
      </c>
      <c r="AC36" s="5">
        <f>INDEX(CEA_TP_SOLVE($A$7:$D$9,D36,F36,C36,,,,,,$A$12:$A$24,$C$12:$C$31,$B$3,$B$4,$B$5),1,23)</f>
      </c>
      <c r="AD36" s="5">
        <f>INDEX(CEA_TP_SOLVE($A$7:$D$9,D36,F36,C36,,,,,,$A$12:$A$24,$C$12:$C$31,$B$3,$B$4,$B$5),1,24)</f>
      </c>
      <c r="AE36" s="5">
        <f>INDEX(CEA_TP_SOLVE($A$7:$D$9,D36,F36,C36,,,,,,$A$12:$A$24,$C$12:$C$31,$B$3,$B$4,$B$5),1,25)</f>
      </c>
      <c r="AF36" s="5">
        <f>INDEX(CEA_TP_SOLVE($A$7:$D$9,D36,F36,C36,,,,,,$A$12:$A$24,$C$12:$C$31,$B$3,$B$4,$B$5),1,26)</f>
      </c>
      <c r="AG36" s="5">
        <f>INDEX(CEA_TP_SOLVE($A$7:$D$9,D36,F36,C36,,,,,,$A$12:$A$24,$C$12:$C$31,$B$3,$B$4,$B$5),1,27)</f>
      </c>
      <c r="AH36" s="5">
        <f>INDEX(CEA_TP_SOLVE($A$7:$D$9,D36,F36,C36,,,,,,$A$12:$A$24,$C$12:$C$31,$B$3,$B$4,$B$5),1,28)</f>
      </c>
      <c r="AI36" s="5">
        <f>INDEX(CEA_TP_SOLVE($A$7:$D$9,D36,F36,C36,,,,,,$A$12:$A$24,$C$12:$C$31,$B$3,$B$4,$B$5),1,29)</f>
      </c>
      <c r="AJ36" s="5">
        <f>INDEX(CEA_TP_SOLVE($A$7:$D$9,D36,F36,C36,,,,,,$A$12:$A$24,$C$12:$C$31,$B$3,$B$4,$B$5),1,30)</f>
      </c>
      <c r="AK36" s="5">
        <f>INDEX(CEA_TP_SOLVE($A$7:$D$9,D36,F36,C36,,,,,,$A$12:$A$24,$C$12:$C$31,$B$3,$B$4,$B$5),1,31)</f>
      </c>
      <c r="AL36" s="5">
        <f>INDEX(CEA_TP_SOLVE($A$7:$D$9,D36,F36,C36,,,,,,$A$12:$A$24,$C$12:$C$31,$B$3,$B$4,$B$5),1,32)</f>
      </c>
      <c r="AM36" s="5">
        <f>INDEX(CEA_TP_SOLVE($A$7:$D$9,D36,F36,C36,,,,,,$A$12:$A$24,$C$12:$C$31,$B$3,$B$4,$B$5),1,33)</f>
      </c>
      <c r="AN36" s="5">
        <f>INDEX(CEA_TP_SOLVE($A$7:$D$9,D36,F36,C36,,,,,,$A$12:$A$24,$C$12:$C$31,$B$3,$B$4,$B$5),1,34)</f>
      </c>
      <c r="AO36" s="5">
        <f>INDEX(CEA_TP_SOLVE($A$7:$D$9,D36,F36,C36,,,,,,$A$12:$A$24,$C$12:$C$31,$B$3,$B$4,$B$5),1,35)</f>
      </c>
      <c r="AP36" s="5">
        <f>INDEX(CEA_TP_SOLVE($A$7:$D$9,D36,F36,C36,,,,,,$A$12:$A$24,$C$12:$C$31,$B$3,$B$4,$B$5),1,36)</f>
      </c>
      <c r="AQ36" s="5">
        <f>INDEX(CEA_TP_SOLVE($A$7:$D$9,D36,F36,C36,,,,,,$A$12:$A$24,$C$12:$C$31,$B$3,$B$4,$B$5),1,37)</f>
      </c>
      <c r="AR36" s="5">
        <f>INDEX(CEA_TP_SOLVE($A$7:$D$9,D36,F36,C36,,,,,,$A$12:$A$24,$C$12:$C$31,$B$3,$B$4,$B$5),1,38)</f>
      </c>
      <c r="AS36" s="5">
        <f>INDEX(CEA_TP_SOLVE($A$7:$D$9,D36,F36,C36,,,,,,$A$12:$A$24,$C$12:$C$31,$B$3,$B$4,$B$5),1,39)</f>
      </c>
      <c r="AT36" s="5">
        <f>INDEX(CEA_TP_SOLVE($A$7:$D$9,D36,F36,C36,,,,,,$A$12:$A$24,$C$12:$C$31,$B$3,$B$4,$B$5),1,40)</f>
      </c>
      <c r="AU36" s="5">
        <f>INDEX(CEA_TP_SOLVE($A$7:$D$9,D36,F36,C36,,,,,,$A$12:$A$24,$C$12:$C$31,$B$3,$B$4,$B$5),1,41)</f>
      </c>
      <c r="AV36" s="5">
        <f>INDEX(CEA_TP_SOLVE($A$7:$D$9,D36,F36,C36,,,,,,$A$12:$A$24,$C$12:$C$31,$B$3,$B$4,$B$5),1,42)</f>
      </c>
      <c r="AW36" s="5">
        <f>INDEX(CEA_TP_SOLVE($A$7:$D$9,D36,F36,C36,,,,,,$A$12:$A$24,$C$12:$C$31,$B$3,$B$4,$B$5),1,43)</f>
      </c>
      <c r="AX36" s="5">
        <f>INDEX(CEA_TP_SOLVE($A$7:$D$9,D36,F36,C36,,,,,,$A$12:$A$24,$C$12:$C$31,$B$3,$B$4,$B$5),1,44)</f>
      </c>
      <c r="AY36" s="5">
        <f>INDEX(CEA_TP_SOLVE($A$7:$D$9,D36,F36,C36,,,,,,$A$12:$A$24,$C$12:$C$31,$B$3,$B$4,$B$5),1,45)</f>
      </c>
      <c r="AZ36" s="5">
        <f>INDEX(CEA_TP_SOLVE($A$7:$D$9,D36,F36,C36,,,,,,$A$12:$A$24,$C$12:$C$31,$B$3,$B$4,$B$5),1,46)</f>
      </c>
      <c r="BA36" s="5">
        <f>INDEX(CEA_TP_SOLVE($A$7:$D$9,D36,F36,C36,,,,,,$A$12:$A$24,$C$12:$C$31,$B$3,$B$4,$B$5),1,47)</f>
      </c>
      <c r="BB36" s="5">
        <f>INDEX(CEA_TP_SOLVE($A$7:$D$9,D36,F36,C36,,,,,,$A$12:$A$24,$C$12:$C$31,$B$3,$B$4,$B$5),1,48)</f>
      </c>
      <c r="BC36" s="5">
        <f>INDEX(CEA_TP_SOLVE($A$7:$D$9,D36,F36,C36,,,,,,$A$12:$A$24,$C$12:$C$31,$B$3,$B$4,$B$5),1,49)</f>
      </c>
      <c r="BD36" s="5">
        <f>INDEX(CEA_TP_SOLVE($A$7:$D$9,D36,F36,C36,,,,,,$A$12:$A$24,$C$12:$C$31,$B$3,$B$4,$B$5),1,50)</f>
      </c>
      <c r="BE36" s="5">
        <f>INDEX(CEA_TP_SOLVE($A$7:$D$9,D36,F36,C36,,,,,,$A$12:$A$24,$C$12:$C$31,$B$3,$B$4,$B$5),1,51)</f>
      </c>
      <c r="BF36" s="5">
        <f>INDEX(CEA_TP_SOLVE($A$7:$D$9,D36,F36,C36,,,,,,$A$12:$A$24,$C$12:$C$31,$B$3,$B$4,$B$5),1,52)</f>
      </c>
      <c r="BG36" s="5">
        <f>INDEX(CEA_TP_SOLVE($A$7:$D$9,D36,F36,C36,,,,,,$A$12:$A$24,$C$12:$C$31,$B$3,$B$4,$B$5),1,53)</f>
      </c>
      <c r="BH36" s="5">
        <f>INDEX(CEA_TP_SOLVE($A$7:$D$9,D36,F36,C36,,,,,,$A$12:$A$24,$C$12:$C$31,$B$3,$B$4,$B$5),1,54)</f>
      </c>
      <c r="BI36" s="5">
        <f>INDEX(CEA_TP_SOLVE($A$7:$D$9,D36,F36,C36,,,,,,$A$12:$A$24,$C$12:$C$31,$B$3,$B$4,$B$5),1,55)</f>
      </c>
      <c r="BJ36" s="5">
        <f>INDEX(CEA_TP_SOLVE($A$7:$D$9,D36,F36,C36,,,,,,$A$12:$A$24,$C$12:$C$31,$B$3,$B$4,$B$5),1,56)</f>
      </c>
    </row>
    <row r="37" spans="1:62" x14ac:dyDescent="0.2">
      <c r="A37" s="9">
        <v>2</v>
      </c>
      <c r="B37" s="4">
        <v>1.0</v>
      </c>
      <c r="C37" s="5">
        <f>CEA_OF_FROM_EQUIVALENCE($A$7:$D$9,B37)</f>
      </c>
      <c r="D37" s="4">
        <v>2000.0</v>
      </c>
      <c r="E37" s="4">
        <v>1.0</v>
      </c>
      <c r="F37" s="5">
        <f>CEA_PRESSURE_SI(E37,"atm")</f>
      </c>
      <c r="G37" s="5">
        <f>INDEX(CEA_TP_SOLVE($A$7:$D$9,D37,F37,C37,,,,,,$A$12:$A$24,$C$12:$C$31,$B$3,$B$4,$B$5),1,1)</f>
      </c>
      <c r="H37" s="5">
        <f>INDEX(CEA_TP_SOLVE($A$7:$D$9,D37,F37,C37,,,,,,$A$12:$A$24,$C$12:$C$31,$B$3,$B$4,$B$5),1,2)</f>
      </c>
      <c r="I37" s="5">
        <f>INDEX(CEA_TP_SOLVE($A$7:$D$9,D37,F37,C37,,,,,,$A$12:$A$24,$C$12:$C$31,$B$3,$B$4,$B$5),1,3)</f>
      </c>
      <c r="J37" s="5">
        <f>INDEX(CEA_TP_SOLVE($A$7:$D$9,D37,F37,C37,,,,,,$A$12:$A$24,$C$12:$C$31,$B$3,$B$4,$B$5),1,4)</f>
      </c>
      <c r="K37" s="5">
        <f>INDEX(CEA_TP_SOLVE($A$7:$D$9,D37,F37,C37,,,,,,$A$12:$A$24,$C$12:$C$31,$B$3,$B$4,$B$5),1,5)</f>
      </c>
      <c r="L37" s="5">
        <f>INDEX(CEA_TP_SOLVE($A$7:$D$9,D37,F37,C37,,,,,,$A$12:$A$24,$C$12:$C$31,$B$3,$B$4,$B$5),1,6)</f>
      </c>
      <c r="M37" s="5">
        <f>INDEX(CEA_TP_SOLVE($A$7:$D$9,D37,F37,C37,,,,,,$A$12:$A$24,$C$12:$C$31,$B$3,$B$4,$B$5),1,7)</f>
      </c>
      <c r="N37" s="5">
        <f>INDEX(CEA_TP_SOLVE($A$7:$D$9,D37,F37,C37,,,,,,$A$12:$A$24,$C$12:$C$31,$B$3,$B$4,$B$5),1,8)</f>
      </c>
      <c r="O37" s="5">
        <f>INDEX(CEA_TP_SOLVE($A$7:$D$9,D37,F37,C37,,,,,,$A$12:$A$24,$C$12:$C$31,$B$3,$B$4,$B$5),1,9)</f>
      </c>
      <c r="P37" s="5">
        <f>INDEX(CEA_TP_SOLVE($A$7:$D$9,D37,F37,C37,,,,,,$A$12:$A$24,$C$12:$C$31,$B$3,$B$4,$B$5),1,10)</f>
      </c>
      <c r="Q37" s="5">
        <f>INDEX(CEA_TP_SOLVE($A$7:$D$9,D37,F37,C37,,,,,,$A$12:$A$24,$C$12:$C$31,$B$3,$B$4,$B$5),1,11)</f>
      </c>
      <c r="R37" s="5">
        <f>INDEX(CEA_TP_SOLVE($A$7:$D$9,D37,F37,C37,,,,,,$A$12:$A$24,$C$12:$C$31,$B$3,$B$4,$B$5),1,12)</f>
      </c>
      <c r="S37" s="5">
        <f>INDEX(CEA_TP_SOLVE($A$7:$D$9,D37,F37,C37,,,,,,$A$12:$A$24,$C$12:$C$31,$B$3,$B$4,$B$5),1,13)</f>
      </c>
      <c r="T37" s="5">
        <f>INDEX(CEA_TP_SOLVE($A$7:$D$9,D37,F37,C37,,,,,,$A$12:$A$24,$C$12:$C$31,$B$3,$B$4,$B$5),1,14)</f>
      </c>
      <c r="U37" s="5">
        <f>INDEX(CEA_TP_SOLVE($A$7:$D$9,D37,F37,C37,,,,,,$A$12:$A$24,$C$12:$C$31,$B$3,$B$4,$B$5),1,15)</f>
      </c>
      <c r="V37" s="5">
        <f>INDEX(CEA_TP_SOLVE($A$7:$D$9,D37,F37,C37,,,,,,$A$12:$A$24,$C$12:$C$31,$B$3,$B$4,$B$5),1,16)</f>
      </c>
      <c r="W37" s="5">
        <f>INDEX(CEA_TP_SOLVE($A$7:$D$9,D37,F37,C37,,,,,,$A$12:$A$24,$C$12:$C$31,$B$3,$B$4,$B$5),1,17)</f>
      </c>
      <c r="X37" s="5">
        <f>INDEX(CEA_TP_SOLVE($A$7:$D$9,D37,F37,C37,,,,,,$A$12:$A$24,$C$12:$C$31,$B$3,$B$4,$B$5),1,18)</f>
      </c>
      <c r="Y37" s="5">
        <f>INDEX(CEA_TP_SOLVE($A$7:$D$9,D37,F37,C37,,,,,,$A$12:$A$24,$C$12:$C$31,$B$3,$B$4,$B$5),1,19)</f>
      </c>
      <c r="Z37" s="5">
        <f>INDEX(CEA_TP_SOLVE($A$7:$D$9,D37,F37,C37,,,,,,$A$12:$A$24,$C$12:$C$31,$B$3,$B$4,$B$5),1,20)</f>
      </c>
      <c r="AA37" s="5">
        <f>INDEX(CEA_TP_SOLVE($A$7:$D$9,D37,F37,C37,,,,,,$A$12:$A$24,$C$12:$C$31,$B$3,$B$4,$B$5),1,21)</f>
      </c>
      <c r="AB37" s="5">
        <f>INDEX(CEA_TP_SOLVE($A$7:$D$9,D37,F37,C37,,,,,,$A$12:$A$24,$C$12:$C$31,$B$3,$B$4,$B$5),1,22)</f>
      </c>
      <c r="AC37" s="5">
        <f>INDEX(CEA_TP_SOLVE($A$7:$D$9,D37,F37,C37,,,,,,$A$12:$A$24,$C$12:$C$31,$B$3,$B$4,$B$5),1,23)</f>
      </c>
      <c r="AD37" s="5">
        <f>INDEX(CEA_TP_SOLVE($A$7:$D$9,D37,F37,C37,,,,,,$A$12:$A$24,$C$12:$C$31,$B$3,$B$4,$B$5),1,24)</f>
      </c>
      <c r="AE37" s="5">
        <f>INDEX(CEA_TP_SOLVE($A$7:$D$9,D37,F37,C37,,,,,,$A$12:$A$24,$C$12:$C$31,$B$3,$B$4,$B$5),1,25)</f>
      </c>
      <c r="AF37" s="5">
        <f>INDEX(CEA_TP_SOLVE($A$7:$D$9,D37,F37,C37,,,,,,$A$12:$A$24,$C$12:$C$31,$B$3,$B$4,$B$5),1,26)</f>
      </c>
      <c r="AG37" s="5">
        <f>INDEX(CEA_TP_SOLVE($A$7:$D$9,D37,F37,C37,,,,,,$A$12:$A$24,$C$12:$C$31,$B$3,$B$4,$B$5),1,27)</f>
      </c>
      <c r="AH37" s="5">
        <f>INDEX(CEA_TP_SOLVE($A$7:$D$9,D37,F37,C37,,,,,,$A$12:$A$24,$C$12:$C$31,$B$3,$B$4,$B$5),1,28)</f>
      </c>
      <c r="AI37" s="5">
        <f>INDEX(CEA_TP_SOLVE($A$7:$D$9,D37,F37,C37,,,,,,$A$12:$A$24,$C$12:$C$31,$B$3,$B$4,$B$5),1,29)</f>
      </c>
      <c r="AJ37" s="5">
        <f>INDEX(CEA_TP_SOLVE($A$7:$D$9,D37,F37,C37,,,,,,$A$12:$A$24,$C$12:$C$31,$B$3,$B$4,$B$5),1,30)</f>
      </c>
      <c r="AK37" s="5">
        <f>INDEX(CEA_TP_SOLVE($A$7:$D$9,D37,F37,C37,,,,,,$A$12:$A$24,$C$12:$C$31,$B$3,$B$4,$B$5),1,31)</f>
      </c>
      <c r="AL37" s="5">
        <f>INDEX(CEA_TP_SOLVE($A$7:$D$9,D37,F37,C37,,,,,,$A$12:$A$24,$C$12:$C$31,$B$3,$B$4,$B$5),1,32)</f>
      </c>
      <c r="AM37" s="5">
        <f>INDEX(CEA_TP_SOLVE($A$7:$D$9,D37,F37,C37,,,,,,$A$12:$A$24,$C$12:$C$31,$B$3,$B$4,$B$5),1,33)</f>
      </c>
      <c r="AN37" s="5">
        <f>INDEX(CEA_TP_SOLVE($A$7:$D$9,D37,F37,C37,,,,,,$A$12:$A$24,$C$12:$C$31,$B$3,$B$4,$B$5),1,34)</f>
      </c>
      <c r="AO37" s="5">
        <f>INDEX(CEA_TP_SOLVE($A$7:$D$9,D37,F37,C37,,,,,,$A$12:$A$24,$C$12:$C$31,$B$3,$B$4,$B$5),1,35)</f>
      </c>
      <c r="AP37" s="5">
        <f>INDEX(CEA_TP_SOLVE($A$7:$D$9,D37,F37,C37,,,,,,$A$12:$A$24,$C$12:$C$31,$B$3,$B$4,$B$5),1,36)</f>
      </c>
      <c r="AQ37" s="5">
        <f>INDEX(CEA_TP_SOLVE($A$7:$D$9,D37,F37,C37,,,,,,$A$12:$A$24,$C$12:$C$31,$B$3,$B$4,$B$5),1,37)</f>
      </c>
      <c r="AR37" s="5">
        <f>INDEX(CEA_TP_SOLVE($A$7:$D$9,D37,F37,C37,,,,,,$A$12:$A$24,$C$12:$C$31,$B$3,$B$4,$B$5),1,38)</f>
      </c>
      <c r="AS37" s="5">
        <f>INDEX(CEA_TP_SOLVE($A$7:$D$9,D37,F37,C37,,,,,,$A$12:$A$24,$C$12:$C$31,$B$3,$B$4,$B$5),1,39)</f>
      </c>
      <c r="AT37" s="5">
        <f>INDEX(CEA_TP_SOLVE($A$7:$D$9,D37,F37,C37,,,,,,$A$12:$A$24,$C$12:$C$31,$B$3,$B$4,$B$5),1,40)</f>
      </c>
      <c r="AU37" s="5">
        <f>INDEX(CEA_TP_SOLVE($A$7:$D$9,D37,F37,C37,,,,,,$A$12:$A$24,$C$12:$C$31,$B$3,$B$4,$B$5),1,41)</f>
      </c>
      <c r="AV37" s="5">
        <f>INDEX(CEA_TP_SOLVE($A$7:$D$9,D37,F37,C37,,,,,,$A$12:$A$24,$C$12:$C$31,$B$3,$B$4,$B$5),1,42)</f>
      </c>
      <c r="AW37" s="5">
        <f>INDEX(CEA_TP_SOLVE($A$7:$D$9,D37,F37,C37,,,,,,$A$12:$A$24,$C$12:$C$31,$B$3,$B$4,$B$5),1,43)</f>
      </c>
      <c r="AX37" s="5">
        <f>INDEX(CEA_TP_SOLVE($A$7:$D$9,D37,F37,C37,,,,,,$A$12:$A$24,$C$12:$C$31,$B$3,$B$4,$B$5),1,44)</f>
      </c>
      <c r="AY37" s="5">
        <f>INDEX(CEA_TP_SOLVE($A$7:$D$9,D37,F37,C37,,,,,,$A$12:$A$24,$C$12:$C$31,$B$3,$B$4,$B$5),1,45)</f>
      </c>
      <c r="AZ37" s="5">
        <f>INDEX(CEA_TP_SOLVE($A$7:$D$9,D37,F37,C37,,,,,,$A$12:$A$24,$C$12:$C$31,$B$3,$B$4,$B$5),1,46)</f>
      </c>
      <c r="BA37" s="5">
        <f>INDEX(CEA_TP_SOLVE($A$7:$D$9,D37,F37,C37,,,,,,$A$12:$A$24,$C$12:$C$31,$B$3,$B$4,$B$5),1,47)</f>
      </c>
      <c r="BB37" s="5">
        <f>INDEX(CEA_TP_SOLVE($A$7:$D$9,D37,F37,C37,,,,,,$A$12:$A$24,$C$12:$C$31,$B$3,$B$4,$B$5),1,48)</f>
      </c>
      <c r="BC37" s="5">
        <f>INDEX(CEA_TP_SOLVE($A$7:$D$9,D37,F37,C37,,,,,,$A$12:$A$24,$C$12:$C$31,$B$3,$B$4,$B$5),1,49)</f>
      </c>
      <c r="BD37" s="5">
        <f>INDEX(CEA_TP_SOLVE($A$7:$D$9,D37,F37,C37,,,,,,$A$12:$A$24,$C$12:$C$31,$B$3,$B$4,$B$5),1,50)</f>
      </c>
      <c r="BE37" s="5">
        <f>INDEX(CEA_TP_SOLVE($A$7:$D$9,D37,F37,C37,,,,,,$A$12:$A$24,$C$12:$C$31,$B$3,$B$4,$B$5),1,51)</f>
      </c>
      <c r="BF37" s="5">
        <f>INDEX(CEA_TP_SOLVE($A$7:$D$9,D37,F37,C37,,,,,,$A$12:$A$24,$C$12:$C$31,$B$3,$B$4,$B$5),1,52)</f>
      </c>
      <c r="BG37" s="5">
        <f>INDEX(CEA_TP_SOLVE($A$7:$D$9,D37,F37,C37,,,,,,$A$12:$A$24,$C$12:$C$31,$B$3,$B$4,$B$5),1,53)</f>
      </c>
      <c r="BH37" s="5">
        <f>INDEX(CEA_TP_SOLVE($A$7:$D$9,D37,F37,C37,,,,,,$A$12:$A$24,$C$12:$C$31,$B$3,$B$4,$B$5),1,54)</f>
      </c>
      <c r="BI37" s="5">
        <f>INDEX(CEA_TP_SOLVE($A$7:$D$9,D37,F37,C37,,,,,,$A$12:$A$24,$C$12:$C$31,$B$3,$B$4,$B$5),1,55)</f>
      </c>
      <c r="BJ37" s="5">
        <f>INDEX(CEA_TP_SOLVE($A$7:$D$9,D37,F37,C37,,,,,,$A$12:$A$24,$C$12:$C$31,$B$3,$B$4,$B$5),1,56)</f>
      </c>
    </row>
    <row r="38" spans="1:62" x14ac:dyDescent="0.2">
      <c r="A38" s="9">
        <v>3</v>
      </c>
      <c r="B38" s="4">
        <v>1.0</v>
      </c>
      <c r="C38" s="5">
        <f>CEA_OF_FROM_EQUIVALENCE($A$7:$D$9,B38)</f>
      </c>
      <c r="D38" s="4">
        <v>3000.0</v>
      </c>
      <c r="E38" s="4">
        <v>0.1</v>
      </c>
      <c r="F38" s="5">
        <f>CEA_PRESSURE_SI(E38,"atm")</f>
      </c>
      <c r="G38" s="5">
        <f>INDEX(CEA_TP_SOLVE($A$7:$D$9,D38,F38,C38,,,,,,$A$12:$A$24,$C$12:$C$31,$B$3,$B$4,$B$5),1,1)</f>
      </c>
      <c r="H38" s="5">
        <f>INDEX(CEA_TP_SOLVE($A$7:$D$9,D38,F38,C38,,,,,,$A$12:$A$24,$C$12:$C$31,$B$3,$B$4,$B$5),1,2)</f>
      </c>
      <c r="I38" s="5">
        <f>INDEX(CEA_TP_SOLVE($A$7:$D$9,D38,F38,C38,,,,,,$A$12:$A$24,$C$12:$C$31,$B$3,$B$4,$B$5),1,3)</f>
      </c>
      <c r="J38" s="5">
        <f>INDEX(CEA_TP_SOLVE($A$7:$D$9,D38,F38,C38,,,,,,$A$12:$A$24,$C$12:$C$31,$B$3,$B$4,$B$5),1,4)</f>
      </c>
      <c r="K38" s="5">
        <f>INDEX(CEA_TP_SOLVE($A$7:$D$9,D38,F38,C38,,,,,,$A$12:$A$24,$C$12:$C$31,$B$3,$B$4,$B$5),1,5)</f>
      </c>
      <c r="L38" s="5">
        <f>INDEX(CEA_TP_SOLVE($A$7:$D$9,D38,F38,C38,,,,,,$A$12:$A$24,$C$12:$C$31,$B$3,$B$4,$B$5),1,6)</f>
      </c>
      <c r="M38" s="5">
        <f>INDEX(CEA_TP_SOLVE($A$7:$D$9,D38,F38,C38,,,,,,$A$12:$A$24,$C$12:$C$31,$B$3,$B$4,$B$5),1,7)</f>
      </c>
      <c r="N38" s="5">
        <f>INDEX(CEA_TP_SOLVE($A$7:$D$9,D38,F38,C38,,,,,,$A$12:$A$24,$C$12:$C$31,$B$3,$B$4,$B$5),1,8)</f>
      </c>
      <c r="O38" s="5">
        <f>INDEX(CEA_TP_SOLVE($A$7:$D$9,D38,F38,C38,,,,,,$A$12:$A$24,$C$12:$C$31,$B$3,$B$4,$B$5),1,9)</f>
      </c>
      <c r="P38" s="5">
        <f>INDEX(CEA_TP_SOLVE($A$7:$D$9,D38,F38,C38,,,,,,$A$12:$A$24,$C$12:$C$31,$B$3,$B$4,$B$5),1,10)</f>
      </c>
      <c r="Q38" s="5">
        <f>INDEX(CEA_TP_SOLVE($A$7:$D$9,D38,F38,C38,,,,,,$A$12:$A$24,$C$12:$C$31,$B$3,$B$4,$B$5),1,11)</f>
      </c>
      <c r="R38" s="5">
        <f>INDEX(CEA_TP_SOLVE($A$7:$D$9,D38,F38,C38,,,,,,$A$12:$A$24,$C$12:$C$31,$B$3,$B$4,$B$5),1,12)</f>
      </c>
      <c r="S38" s="5">
        <f>INDEX(CEA_TP_SOLVE($A$7:$D$9,D38,F38,C38,,,,,,$A$12:$A$24,$C$12:$C$31,$B$3,$B$4,$B$5),1,13)</f>
      </c>
      <c r="T38" s="5">
        <f>INDEX(CEA_TP_SOLVE($A$7:$D$9,D38,F38,C38,,,,,,$A$12:$A$24,$C$12:$C$31,$B$3,$B$4,$B$5),1,14)</f>
      </c>
      <c r="U38" s="5">
        <f>INDEX(CEA_TP_SOLVE($A$7:$D$9,D38,F38,C38,,,,,,$A$12:$A$24,$C$12:$C$31,$B$3,$B$4,$B$5),1,15)</f>
      </c>
      <c r="V38" s="5">
        <f>INDEX(CEA_TP_SOLVE($A$7:$D$9,D38,F38,C38,,,,,,$A$12:$A$24,$C$12:$C$31,$B$3,$B$4,$B$5),1,16)</f>
      </c>
      <c r="W38" s="5">
        <f>INDEX(CEA_TP_SOLVE($A$7:$D$9,D38,F38,C38,,,,,,$A$12:$A$24,$C$12:$C$31,$B$3,$B$4,$B$5),1,17)</f>
      </c>
      <c r="X38" s="5">
        <f>INDEX(CEA_TP_SOLVE($A$7:$D$9,D38,F38,C38,,,,,,$A$12:$A$24,$C$12:$C$31,$B$3,$B$4,$B$5),1,18)</f>
      </c>
      <c r="Y38" s="5">
        <f>INDEX(CEA_TP_SOLVE($A$7:$D$9,D38,F38,C38,,,,,,$A$12:$A$24,$C$12:$C$31,$B$3,$B$4,$B$5),1,19)</f>
      </c>
      <c r="Z38" s="5">
        <f>INDEX(CEA_TP_SOLVE($A$7:$D$9,D38,F38,C38,,,,,,$A$12:$A$24,$C$12:$C$31,$B$3,$B$4,$B$5),1,20)</f>
      </c>
      <c r="AA38" s="5">
        <f>INDEX(CEA_TP_SOLVE($A$7:$D$9,D38,F38,C38,,,,,,$A$12:$A$24,$C$12:$C$31,$B$3,$B$4,$B$5),1,21)</f>
      </c>
      <c r="AB38" s="5">
        <f>INDEX(CEA_TP_SOLVE($A$7:$D$9,D38,F38,C38,,,,,,$A$12:$A$24,$C$12:$C$31,$B$3,$B$4,$B$5),1,22)</f>
      </c>
      <c r="AC38" s="5">
        <f>INDEX(CEA_TP_SOLVE($A$7:$D$9,D38,F38,C38,,,,,,$A$12:$A$24,$C$12:$C$31,$B$3,$B$4,$B$5),1,23)</f>
      </c>
      <c r="AD38" s="5">
        <f>INDEX(CEA_TP_SOLVE($A$7:$D$9,D38,F38,C38,,,,,,$A$12:$A$24,$C$12:$C$31,$B$3,$B$4,$B$5),1,24)</f>
      </c>
      <c r="AE38" s="5">
        <f>INDEX(CEA_TP_SOLVE($A$7:$D$9,D38,F38,C38,,,,,,$A$12:$A$24,$C$12:$C$31,$B$3,$B$4,$B$5),1,25)</f>
      </c>
      <c r="AF38" s="5">
        <f>INDEX(CEA_TP_SOLVE($A$7:$D$9,D38,F38,C38,,,,,,$A$12:$A$24,$C$12:$C$31,$B$3,$B$4,$B$5),1,26)</f>
      </c>
      <c r="AG38" s="5">
        <f>INDEX(CEA_TP_SOLVE($A$7:$D$9,D38,F38,C38,,,,,,$A$12:$A$24,$C$12:$C$31,$B$3,$B$4,$B$5),1,27)</f>
      </c>
      <c r="AH38" s="5">
        <f>INDEX(CEA_TP_SOLVE($A$7:$D$9,D38,F38,C38,,,,,,$A$12:$A$24,$C$12:$C$31,$B$3,$B$4,$B$5),1,28)</f>
      </c>
      <c r="AI38" s="5">
        <f>INDEX(CEA_TP_SOLVE($A$7:$D$9,D38,F38,C38,,,,,,$A$12:$A$24,$C$12:$C$31,$B$3,$B$4,$B$5),1,29)</f>
      </c>
      <c r="AJ38" s="5">
        <f>INDEX(CEA_TP_SOLVE($A$7:$D$9,D38,F38,C38,,,,,,$A$12:$A$24,$C$12:$C$31,$B$3,$B$4,$B$5),1,30)</f>
      </c>
      <c r="AK38" s="5">
        <f>INDEX(CEA_TP_SOLVE($A$7:$D$9,D38,F38,C38,,,,,,$A$12:$A$24,$C$12:$C$31,$B$3,$B$4,$B$5),1,31)</f>
      </c>
      <c r="AL38" s="5">
        <f>INDEX(CEA_TP_SOLVE($A$7:$D$9,D38,F38,C38,,,,,,$A$12:$A$24,$C$12:$C$31,$B$3,$B$4,$B$5),1,32)</f>
      </c>
      <c r="AM38" s="5">
        <f>INDEX(CEA_TP_SOLVE($A$7:$D$9,D38,F38,C38,,,,,,$A$12:$A$24,$C$12:$C$31,$B$3,$B$4,$B$5),1,33)</f>
      </c>
      <c r="AN38" s="5">
        <f>INDEX(CEA_TP_SOLVE($A$7:$D$9,D38,F38,C38,,,,,,$A$12:$A$24,$C$12:$C$31,$B$3,$B$4,$B$5),1,34)</f>
      </c>
      <c r="AO38" s="5">
        <f>INDEX(CEA_TP_SOLVE($A$7:$D$9,D38,F38,C38,,,,,,$A$12:$A$24,$C$12:$C$31,$B$3,$B$4,$B$5),1,35)</f>
      </c>
      <c r="AP38" s="5">
        <f>INDEX(CEA_TP_SOLVE($A$7:$D$9,D38,F38,C38,,,,,,$A$12:$A$24,$C$12:$C$31,$B$3,$B$4,$B$5),1,36)</f>
      </c>
      <c r="AQ38" s="5">
        <f>INDEX(CEA_TP_SOLVE($A$7:$D$9,D38,F38,C38,,,,,,$A$12:$A$24,$C$12:$C$31,$B$3,$B$4,$B$5),1,37)</f>
      </c>
      <c r="AR38" s="5">
        <f>INDEX(CEA_TP_SOLVE($A$7:$D$9,D38,F38,C38,,,,,,$A$12:$A$24,$C$12:$C$31,$B$3,$B$4,$B$5),1,38)</f>
      </c>
      <c r="AS38" s="5">
        <f>INDEX(CEA_TP_SOLVE($A$7:$D$9,D38,F38,C38,,,,,,$A$12:$A$24,$C$12:$C$31,$B$3,$B$4,$B$5),1,39)</f>
      </c>
      <c r="AT38" s="5">
        <f>INDEX(CEA_TP_SOLVE($A$7:$D$9,D38,F38,C38,,,,,,$A$12:$A$24,$C$12:$C$31,$B$3,$B$4,$B$5),1,40)</f>
      </c>
      <c r="AU38" s="5">
        <f>INDEX(CEA_TP_SOLVE($A$7:$D$9,D38,F38,C38,,,,,,$A$12:$A$24,$C$12:$C$31,$B$3,$B$4,$B$5),1,41)</f>
      </c>
      <c r="AV38" s="5">
        <f>INDEX(CEA_TP_SOLVE($A$7:$D$9,D38,F38,C38,,,,,,$A$12:$A$24,$C$12:$C$31,$B$3,$B$4,$B$5),1,42)</f>
      </c>
      <c r="AW38" s="5">
        <f>INDEX(CEA_TP_SOLVE($A$7:$D$9,D38,F38,C38,,,,,,$A$12:$A$24,$C$12:$C$31,$B$3,$B$4,$B$5),1,43)</f>
      </c>
      <c r="AX38" s="5">
        <f>INDEX(CEA_TP_SOLVE($A$7:$D$9,D38,F38,C38,,,,,,$A$12:$A$24,$C$12:$C$31,$B$3,$B$4,$B$5),1,44)</f>
      </c>
      <c r="AY38" s="5">
        <f>INDEX(CEA_TP_SOLVE($A$7:$D$9,D38,F38,C38,,,,,,$A$12:$A$24,$C$12:$C$31,$B$3,$B$4,$B$5),1,45)</f>
      </c>
      <c r="AZ38" s="5">
        <f>INDEX(CEA_TP_SOLVE($A$7:$D$9,D38,F38,C38,,,,,,$A$12:$A$24,$C$12:$C$31,$B$3,$B$4,$B$5),1,46)</f>
      </c>
      <c r="BA38" s="5">
        <f>INDEX(CEA_TP_SOLVE($A$7:$D$9,D38,F38,C38,,,,,,$A$12:$A$24,$C$12:$C$31,$B$3,$B$4,$B$5),1,47)</f>
      </c>
      <c r="BB38" s="5">
        <f>INDEX(CEA_TP_SOLVE($A$7:$D$9,D38,F38,C38,,,,,,$A$12:$A$24,$C$12:$C$31,$B$3,$B$4,$B$5),1,48)</f>
      </c>
      <c r="BC38" s="5">
        <f>INDEX(CEA_TP_SOLVE($A$7:$D$9,D38,F38,C38,,,,,,$A$12:$A$24,$C$12:$C$31,$B$3,$B$4,$B$5),1,49)</f>
      </c>
      <c r="BD38" s="5">
        <f>INDEX(CEA_TP_SOLVE($A$7:$D$9,D38,F38,C38,,,,,,$A$12:$A$24,$C$12:$C$31,$B$3,$B$4,$B$5),1,50)</f>
      </c>
      <c r="BE38" s="5">
        <f>INDEX(CEA_TP_SOLVE($A$7:$D$9,D38,F38,C38,,,,,,$A$12:$A$24,$C$12:$C$31,$B$3,$B$4,$B$5),1,51)</f>
      </c>
      <c r="BF38" s="5">
        <f>INDEX(CEA_TP_SOLVE($A$7:$D$9,D38,F38,C38,,,,,,$A$12:$A$24,$C$12:$C$31,$B$3,$B$4,$B$5),1,52)</f>
      </c>
      <c r="BG38" s="5">
        <f>INDEX(CEA_TP_SOLVE($A$7:$D$9,D38,F38,C38,,,,,,$A$12:$A$24,$C$12:$C$31,$B$3,$B$4,$B$5),1,53)</f>
      </c>
      <c r="BH38" s="5">
        <f>INDEX(CEA_TP_SOLVE($A$7:$D$9,D38,F38,C38,,,,,,$A$12:$A$24,$C$12:$C$31,$B$3,$B$4,$B$5),1,54)</f>
      </c>
      <c r="BI38" s="5">
        <f>INDEX(CEA_TP_SOLVE($A$7:$D$9,D38,F38,C38,,,,,,$A$12:$A$24,$C$12:$C$31,$B$3,$B$4,$B$5),1,55)</f>
      </c>
      <c r="BJ38" s="5">
        <f>INDEX(CEA_TP_SOLVE($A$7:$D$9,D38,F38,C38,,,,,,$A$12:$A$24,$C$12:$C$31,$B$3,$B$4,$B$5),1,56)</f>
      </c>
    </row>
    <row r="39" spans="1:62" x14ac:dyDescent="0.2">
      <c r="A39" s="9">
        <v>4</v>
      </c>
      <c r="B39" s="4">
        <v>1.0</v>
      </c>
      <c r="C39" s="5">
        <f>CEA_OF_FROM_EQUIVALENCE($A$7:$D$9,B39)</f>
      </c>
      <c r="D39" s="4">
        <v>2000.0</v>
      </c>
      <c r="E39" s="4">
        <v>0.1</v>
      </c>
      <c r="F39" s="5">
        <f>CEA_PRESSURE_SI(E39,"atm")</f>
      </c>
      <c r="G39" s="5">
        <f>INDEX(CEA_TP_SOLVE($A$7:$D$9,D39,F39,C39,,,,,,$A$12:$A$24,$C$12:$C$31,$B$3,$B$4,$B$5),1,1)</f>
      </c>
      <c r="H39" s="5">
        <f>INDEX(CEA_TP_SOLVE($A$7:$D$9,D39,F39,C39,,,,,,$A$12:$A$24,$C$12:$C$31,$B$3,$B$4,$B$5),1,2)</f>
      </c>
      <c r="I39" s="5">
        <f>INDEX(CEA_TP_SOLVE($A$7:$D$9,D39,F39,C39,,,,,,$A$12:$A$24,$C$12:$C$31,$B$3,$B$4,$B$5),1,3)</f>
      </c>
      <c r="J39" s="5">
        <f>INDEX(CEA_TP_SOLVE($A$7:$D$9,D39,F39,C39,,,,,,$A$12:$A$24,$C$12:$C$31,$B$3,$B$4,$B$5),1,4)</f>
      </c>
      <c r="K39" s="5">
        <f>INDEX(CEA_TP_SOLVE($A$7:$D$9,D39,F39,C39,,,,,,$A$12:$A$24,$C$12:$C$31,$B$3,$B$4,$B$5),1,5)</f>
      </c>
      <c r="L39" s="5">
        <f>INDEX(CEA_TP_SOLVE($A$7:$D$9,D39,F39,C39,,,,,,$A$12:$A$24,$C$12:$C$31,$B$3,$B$4,$B$5),1,6)</f>
      </c>
      <c r="M39" s="5">
        <f>INDEX(CEA_TP_SOLVE($A$7:$D$9,D39,F39,C39,,,,,,$A$12:$A$24,$C$12:$C$31,$B$3,$B$4,$B$5),1,7)</f>
      </c>
      <c r="N39" s="5">
        <f>INDEX(CEA_TP_SOLVE($A$7:$D$9,D39,F39,C39,,,,,,$A$12:$A$24,$C$12:$C$31,$B$3,$B$4,$B$5),1,8)</f>
      </c>
      <c r="O39" s="5">
        <f>INDEX(CEA_TP_SOLVE($A$7:$D$9,D39,F39,C39,,,,,,$A$12:$A$24,$C$12:$C$31,$B$3,$B$4,$B$5),1,9)</f>
      </c>
      <c r="P39" s="5">
        <f>INDEX(CEA_TP_SOLVE($A$7:$D$9,D39,F39,C39,,,,,,$A$12:$A$24,$C$12:$C$31,$B$3,$B$4,$B$5),1,10)</f>
      </c>
      <c r="Q39" s="5">
        <f>INDEX(CEA_TP_SOLVE($A$7:$D$9,D39,F39,C39,,,,,,$A$12:$A$24,$C$12:$C$31,$B$3,$B$4,$B$5),1,11)</f>
      </c>
      <c r="R39" s="5">
        <f>INDEX(CEA_TP_SOLVE($A$7:$D$9,D39,F39,C39,,,,,,$A$12:$A$24,$C$12:$C$31,$B$3,$B$4,$B$5),1,12)</f>
      </c>
      <c r="S39" s="5">
        <f>INDEX(CEA_TP_SOLVE($A$7:$D$9,D39,F39,C39,,,,,,$A$12:$A$24,$C$12:$C$31,$B$3,$B$4,$B$5),1,13)</f>
      </c>
      <c r="T39" s="5">
        <f>INDEX(CEA_TP_SOLVE($A$7:$D$9,D39,F39,C39,,,,,,$A$12:$A$24,$C$12:$C$31,$B$3,$B$4,$B$5),1,14)</f>
      </c>
      <c r="U39" s="5">
        <f>INDEX(CEA_TP_SOLVE($A$7:$D$9,D39,F39,C39,,,,,,$A$12:$A$24,$C$12:$C$31,$B$3,$B$4,$B$5),1,15)</f>
      </c>
      <c r="V39" s="5">
        <f>INDEX(CEA_TP_SOLVE($A$7:$D$9,D39,F39,C39,,,,,,$A$12:$A$24,$C$12:$C$31,$B$3,$B$4,$B$5),1,16)</f>
      </c>
      <c r="W39" s="5">
        <f>INDEX(CEA_TP_SOLVE($A$7:$D$9,D39,F39,C39,,,,,,$A$12:$A$24,$C$12:$C$31,$B$3,$B$4,$B$5),1,17)</f>
      </c>
      <c r="X39" s="5">
        <f>INDEX(CEA_TP_SOLVE($A$7:$D$9,D39,F39,C39,,,,,,$A$12:$A$24,$C$12:$C$31,$B$3,$B$4,$B$5),1,18)</f>
      </c>
      <c r="Y39" s="5">
        <f>INDEX(CEA_TP_SOLVE($A$7:$D$9,D39,F39,C39,,,,,,$A$12:$A$24,$C$12:$C$31,$B$3,$B$4,$B$5),1,19)</f>
      </c>
      <c r="Z39" s="5">
        <f>INDEX(CEA_TP_SOLVE($A$7:$D$9,D39,F39,C39,,,,,,$A$12:$A$24,$C$12:$C$31,$B$3,$B$4,$B$5),1,20)</f>
      </c>
      <c r="AA39" s="5">
        <f>INDEX(CEA_TP_SOLVE($A$7:$D$9,D39,F39,C39,,,,,,$A$12:$A$24,$C$12:$C$31,$B$3,$B$4,$B$5),1,21)</f>
      </c>
      <c r="AB39" s="5">
        <f>INDEX(CEA_TP_SOLVE($A$7:$D$9,D39,F39,C39,,,,,,$A$12:$A$24,$C$12:$C$31,$B$3,$B$4,$B$5),1,22)</f>
      </c>
      <c r="AC39" s="5">
        <f>INDEX(CEA_TP_SOLVE($A$7:$D$9,D39,F39,C39,,,,,,$A$12:$A$24,$C$12:$C$31,$B$3,$B$4,$B$5),1,23)</f>
      </c>
      <c r="AD39" s="5">
        <f>INDEX(CEA_TP_SOLVE($A$7:$D$9,D39,F39,C39,,,,,,$A$12:$A$24,$C$12:$C$31,$B$3,$B$4,$B$5),1,24)</f>
      </c>
      <c r="AE39" s="5">
        <f>INDEX(CEA_TP_SOLVE($A$7:$D$9,D39,F39,C39,,,,,,$A$12:$A$24,$C$12:$C$31,$B$3,$B$4,$B$5),1,25)</f>
      </c>
      <c r="AF39" s="5">
        <f>INDEX(CEA_TP_SOLVE($A$7:$D$9,D39,F39,C39,,,,,,$A$12:$A$24,$C$12:$C$31,$B$3,$B$4,$B$5),1,26)</f>
      </c>
      <c r="AG39" s="5">
        <f>INDEX(CEA_TP_SOLVE($A$7:$D$9,D39,F39,C39,,,,,,$A$12:$A$24,$C$12:$C$31,$B$3,$B$4,$B$5),1,27)</f>
      </c>
      <c r="AH39" s="5">
        <f>INDEX(CEA_TP_SOLVE($A$7:$D$9,D39,F39,C39,,,,,,$A$12:$A$24,$C$12:$C$31,$B$3,$B$4,$B$5),1,28)</f>
      </c>
      <c r="AI39" s="5">
        <f>INDEX(CEA_TP_SOLVE($A$7:$D$9,D39,F39,C39,,,,,,$A$12:$A$24,$C$12:$C$31,$B$3,$B$4,$B$5),1,29)</f>
      </c>
      <c r="AJ39" s="5">
        <f>INDEX(CEA_TP_SOLVE($A$7:$D$9,D39,F39,C39,,,,,,$A$12:$A$24,$C$12:$C$31,$B$3,$B$4,$B$5),1,30)</f>
      </c>
      <c r="AK39" s="5">
        <f>INDEX(CEA_TP_SOLVE($A$7:$D$9,D39,F39,C39,,,,,,$A$12:$A$24,$C$12:$C$31,$B$3,$B$4,$B$5),1,31)</f>
      </c>
      <c r="AL39" s="5">
        <f>INDEX(CEA_TP_SOLVE($A$7:$D$9,D39,F39,C39,,,,,,$A$12:$A$24,$C$12:$C$31,$B$3,$B$4,$B$5),1,32)</f>
      </c>
      <c r="AM39" s="5">
        <f>INDEX(CEA_TP_SOLVE($A$7:$D$9,D39,F39,C39,,,,,,$A$12:$A$24,$C$12:$C$31,$B$3,$B$4,$B$5),1,33)</f>
      </c>
      <c r="AN39" s="5">
        <f>INDEX(CEA_TP_SOLVE($A$7:$D$9,D39,F39,C39,,,,,,$A$12:$A$24,$C$12:$C$31,$B$3,$B$4,$B$5),1,34)</f>
      </c>
      <c r="AO39" s="5">
        <f>INDEX(CEA_TP_SOLVE($A$7:$D$9,D39,F39,C39,,,,,,$A$12:$A$24,$C$12:$C$31,$B$3,$B$4,$B$5),1,35)</f>
      </c>
      <c r="AP39" s="5">
        <f>INDEX(CEA_TP_SOLVE($A$7:$D$9,D39,F39,C39,,,,,,$A$12:$A$24,$C$12:$C$31,$B$3,$B$4,$B$5),1,36)</f>
      </c>
      <c r="AQ39" s="5">
        <f>INDEX(CEA_TP_SOLVE($A$7:$D$9,D39,F39,C39,,,,,,$A$12:$A$24,$C$12:$C$31,$B$3,$B$4,$B$5),1,37)</f>
      </c>
      <c r="AR39" s="5">
        <f>INDEX(CEA_TP_SOLVE($A$7:$D$9,D39,F39,C39,,,,,,$A$12:$A$24,$C$12:$C$31,$B$3,$B$4,$B$5),1,38)</f>
      </c>
      <c r="AS39" s="5">
        <f>INDEX(CEA_TP_SOLVE($A$7:$D$9,D39,F39,C39,,,,,,$A$12:$A$24,$C$12:$C$31,$B$3,$B$4,$B$5),1,39)</f>
      </c>
      <c r="AT39" s="5">
        <f>INDEX(CEA_TP_SOLVE($A$7:$D$9,D39,F39,C39,,,,,,$A$12:$A$24,$C$12:$C$31,$B$3,$B$4,$B$5),1,40)</f>
      </c>
      <c r="AU39" s="5">
        <f>INDEX(CEA_TP_SOLVE($A$7:$D$9,D39,F39,C39,,,,,,$A$12:$A$24,$C$12:$C$31,$B$3,$B$4,$B$5),1,41)</f>
      </c>
      <c r="AV39" s="5">
        <f>INDEX(CEA_TP_SOLVE($A$7:$D$9,D39,F39,C39,,,,,,$A$12:$A$24,$C$12:$C$31,$B$3,$B$4,$B$5),1,42)</f>
      </c>
      <c r="AW39" s="5">
        <f>INDEX(CEA_TP_SOLVE($A$7:$D$9,D39,F39,C39,,,,,,$A$12:$A$24,$C$12:$C$31,$B$3,$B$4,$B$5),1,43)</f>
      </c>
      <c r="AX39" s="5">
        <f>INDEX(CEA_TP_SOLVE($A$7:$D$9,D39,F39,C39,,,,,,$A$12:$A$24,$C$12:$C$31,$B$3,$B$4,$B$5),1,44)</f>
      </c>
      <c r="AY39" s="5">
        <f>INDEX(CEA_TP_SOLVE($A$7:$D$9,D39,F39,C39,,,,,,$A$12:$A$24,$C$12:$C$31,$B$3,$B$4,$B$5),1,45)</f>
      </c>
      <c r="AZ39" s="5">
        <f>INDEX(CEA_TP_SOLVE($A$7:$D$9,D39,F39,C39,,,,,,$A$12:$A$24,$C$12:$C$31,$B$3,$B$4,$B$5),1,46)</f>
      </c>
      <c r="BA39" s="5">
        <f>INDEX(CEA_TP_SOLVE($A$7:$D$9,D39,F39,C39,,,,,,$A$12:$A$24,$C$12:$C$31,$B$3,$B$4,$B$5),1,47)</f>
      </c>
      <c r="BB39" s="5">
        <f>INDEX(CEA_TP_SOLVE($A$7:$D$9,D39,F39,C39,,,,,,$A$12:$A$24,$C$12:$C$31,$B$3,$B$4,$B$5),1,48)</f>
      </c>
      <c r="BC39" s="5">
        <f>INDEX(CEA_TP_SOLVE($A$7:$D$9,D39,F39,C39,,,,,,$A$12:$A$24,$C$12:$C$31,$B$3,$B$4,$B$5),1,49)</f>
      </c>
      <c r="BD39" s="5">
        <f>INDEX(CEA_TP_SOLVE($A$7:$D$9,D39,F39,C39,,,,,,$A$12:$A$24,$C$12:$C$31,$B$3,$B$4,$B$5),1,50)</f>
      </c>
      <c r="BE39" s="5">
        <f>INDEX(CEA_TP_SOLVE($A$7:$D$9,D39,F39,C39,,,,,,$A$12:$A$24,$C$12:$C$31,$B$3,$B$4,$B$5),1,51)</f>
      </c>
      <c r="BF39" s="5">
        <f>INDEX(CEA_TP_SOLVE($A$7:$D$9,D39,F39,C39,,,,,,$A$12:$A$24,$C$12:$C$31,$B$3,$B$4,$B$5),1,52)</f>
      </c>
      <c r="BG39" s="5">
        <f>INDEX(CEA_TP_SOLVE($A$7:$D$9,D39,F39,C39,,,,,,$A$12:$A$24,$C$12:$C$31,$B$3,$B$4,$B$5),1,53)</f>
      </c>
      <c r="BH39" s="5">
        <f>INDEX(CEA_TP_SOLVE($A$7:$D$9,D39,F39,C39,,,,,,$A$12:$A$24,$C$12:$C$31,$B$3,$B$4,$B$5),1,54)</f>
      </c>
      <c r="BI39" s="5">
        <f>INDEX(CEA_TP_SOLVE($A$7:$D$9,D39,F39,C39,,,,,,$A$12:$A$24,$C$12:$C$31,$B$3,$B$4,$B$5),1,55)</f>
      </c>
      <c r="BJ39" s="5">
        <f>INDEX(CEA_TP_SOLVE($A$7:$D$9,D39,F39,C39,,,,,,$A$12:$A$24,$C$12:$C$31,$B$3,$B$4,$B$5),1,56)</f>
      </c>
    </row>
    <row r="40" spans="1:62" x14ac:dyDescent="0.2">
      <c r="A40" s="9">
        <v>5</v>
      </c>
      <c r="B40" s="4">
        <v>1.0</v>
      </c>
      <c r="C40" s="5">
        <f>CEA_OF_FROM_EQUIVALENCE($A$7:$D$9,B40)</f>
      </c>
      <c r="D40" s="4">
        <v>3000.0</v>
      </c>
      <c r="E40" s="4">
        <v>0.01</v>
      </c>
      <c r="F40" s="5">
        <f>CEA_PRESSURE_SI(E40,"atm")</f>
      </c>
      <c r="G40" s="5">
        <f>INDEX(CEA_TP_SOLVE($A$7:$D$9,D40,F40,C40,,,,,,$A$12:$A$24,$C$12:$C$31,$B$3,$B$4,$B$5),1,1)</f>
      </c>
      <c r="H40" s="5">
        <f>INDEX(CEA_TP_SOLVE($A$7:$D$9,D40,F40,C40,,,,,,$A$12:$A$24,$C$12:$C$31,$B$3,$B$4,$B$5),1,2)</f>
      </c>
      <c r="I40" s="5">
        <f>INDEX(CEA_TP_SOLVE($A$7:$D$9,D40,F40,C40,,,,,,$A$12:$A$24,$C$12:$C$31,$B$3,$B$4,$B$5),1,3)</f>
      </c>
      <c r="J40" s="5">
        <f>INDEX(CEA_TP_SOLVE($A$7:$D$9,D40,F40,C40,,,,,,$A$12:$A$24,$C$12:$C$31,$B$3,$B$4,$B$5),1,4)</f>
      </c>
      <c r="K40" s="5">
        <f>INDEX(CEA_TP_SOLVE($A$7:$D$9,D40,F40,C40,,,,,,$A$12:$A$24,$C$12:$C$31,$B$3,$B$4,$B$5),1,5)</f>
      </c>
      <c r="L40" s="5">
        <f>INDEX(CEA_TP_SOLVE($A$7:$D$9,D40,F40,C40,,,,,,$A$12:$A$24,$C$12:$C$31,$B$3,$B$4,$B$5),1,6)</f>
      </c>
      <c r="M40" s="5">
        <f>INDEX(CEA_TP_SOLVE($A$7:$D$9,D40,F40,C40,,,,,,$A$12:$A$24,$C$12:$C$31,$B$3,$B$4,$B$5),1,7)</f>
      </c>
      <c r="N40" s="5">
        <f>INDEX(CEA_TP_SOLVE($A$7:$D$9,D40,F40,C40,,,,,,$A$12:$A$24,$C$12:$C$31,$B$3,$B$4,$B$5),1,8)</f>
      </c>
      <c r="O40" s="5">
        <f>INDEX(CEA_TP_SOLVE($A$7:$D$9,D40,F40,C40,,,,,,$A$12:$A$24,$C$12:$C$31,$B$3,$B$4,$B$5),1,9)</f>
      </c>
      <c r="P40" s="5">
        <f>INDEX(CEA_TP_SOLVE($A$7:$D$9,D40,F40,C40,,,,,,$A$12:$A$24,$C$12:$C$31,$B$3,$B$4,$B$5),1,10)</f>
      </c>
      <c r="Q40" s="5">
        <f>INDEX(CEA_TP_SOLVE($A$7:$D$9,D40,F40,C40,,,,,,$A$12:$A$24,$C$12:$C$31,$B$3,$B$4,$B$5),1,11)</f>
      </c>
      <c r="R40" s="5">
        <f>INDEX(CEA_TP_SOLVE($A$7:$D$9,D40,F40,C40,,,,,,$A$12:$A$24,$C$12:$C$31,$B$3,$B$4,$B$5),1,12)</f>
      </c>
      <c r="S40" s="5">
        <f>INDEX(CEA_TP_SOLVE($A$7:$D$9,D40,F40,C40,,,,,,$A$12:$A$24,$C$12:$C$31,$B$3,$B$4,$B$5),1,13)</f>
      </c>
      <c r="T40" s="5">
        <f>INDEX(CEA_TP_SOLVE($A$7:$D$9,D40,F40,C40,,,,,,$A$12:$A$24,$C$12:$C$31,$B$3,$B$4,$B$5),1,14)</f>
      </c>
      <c r="U40" s="5">
        <f>INDEX(CEA_TP_SOLVE($A$7:$D$9,D40,F40,C40,,,,,,$A$12:$A$24,$C$12:$C$31,$B$3,$B$4,$B$5),1,15)</f>
      </c>
      <c r="V40" s="5">
        <f>INDEX(CEA_TP_SOLVE($A$7:$D$9,D40,F40,C40,,,,,,$A$12:$A$24,$C$12:$C$31,$B$3,$B$4,$B$5),1,16)</f>
      </c>
      <c r="W40" s="5">
        <f>INDEX(CEA_TP_SOLVE($A$7:$D$9,D40,F40,C40,,,,,,$A$12:$A$24,$C$12:$C$31,$B$3,$B$4,$B$5),1,17)</f>
      </c>
      <c r="X40" s="5">
        <f>INDEX(CEA_TP_SOLVE($A$7:$D$9,D40,F40,C40,,,,,,$A$12:$A$24,$C$12:$C$31,$B$3,$B$4,$B$5),1,18)</f>
      </c>
      <c r="Y40" s="5">
        <f>INDEX(CEA_TP_SOLVE($A$7:$D$9,D40,F40,C40,,,,,,$A$12:$A$24,$C$12:$C$31,$B$3,$B$4,$B$5),1,19)</f>
      </c>
      <c r="Z40" s="5">
        <f>INDEX(CEA_TP_SOLVE($A$7:$D$9,D40,F40,C40,,,,,,$A$12:$A$24,$C$12:$C$31,$B$3,$B$4,$B$5),1,20)</f>
      </c>
      <c r="AA40" s="5">
        <f>INDEX(CEA_TP_SOLVE($A$7:$D$9,D40,F40,C40,,,,,,$A$12:$A$24,$C$12:$C$31,$B$3,$B$4,$B$5),1,21)</f>
      </c>
      <c r="AB40" s="5">
        <f>INDEX(CEA_TP_SOLVE($A$7:$D$9,D40,F40,C40,,,,,,$A$12:$A$24,$C$12:$C$31,$B$3,$B$4,$B$5),1,22)</f>
      </c>
      <c r="AC40" s="5">
        <f>INDEX(CEA_TP_SOLVE($A$7:$D$9,D40,F40,C40,,,,,,$A$12:$A$24,$C$12:$C$31,$B$3,$B$4,$B$5),1,23)</f>
      </c>
      <c r="AD40" s="5">
        <f>INDEX(CEA_TP_SOLVE($A$7:$D$9,D40,F40,C40,,,,,,$A$12:$A$24,$C$12:$C$31,$B$3,$B$4,$B$5),1,24)</f>
      </c>
      <c r="AE40" s="5">
        <f>INDEX(CEA_TP_SOLVE($A$7:$D$9,D40,F40,C40,,,,,,$A$12:$A$24,$C$12:$C$31,$B$3,$B$4,$B$5),1,25)</f>
      </c>
      <c r="AF40" s="5">
        <f>INDEX(CEA_TP_SOLVE($A$7:$D$9,D40,F40,C40,,,,,,$A$12:$A$24,$C$12:$C$31,$B$3,$B$4,$B$5),1,26)</f>
      </c>
      <c r="AG40" s="5">
        <f>INDEX(CEA_TP_SOLVE($A$7:$D$9,D40,F40,C40,,,,,,$A$12:$A$24,$C$12:$C$31,$B$3,$B$4,$B$5),1,27)</f>
      </c>
      <c r="AH40" s="5">
        <f>INDEX(CEA_TP_SOLVE($A$7:$D$9,D40,F40,C40,,,,,,$A$12:$A$24,$C$12:$C$31,$B$3,$B$4,$B$5),1,28)</f>
      </c>
      <c r="AI40" s="5">
        <f>INDEX(CEA_TP_SOLVE($A$7:$D$9,D40,F40,C40,,,,,,$A$12:$A$24,$C$12:$C$31,$B$3,$B$4,$B$5),1,29)</f>
      </c>
      <c r="AJ40" s="5">
        <f>INDEX(CEA_TP_SOLVE($A$7:$D$9,D40,F40,C40,,,,,,$A$12:$A$24,$C$12:$C$31,$B$3,$B$4,$B$5),1,30)</f>
      </c>
      <c r="AK40" s="5">
        <f>INDEX(CEA_TP_SOLVE($A$7:$D$9,D40,F40,C40,,,,,,$A$12:$A$24,$C$12:$C$31,$B$3,$B$4,$B$5),1,31)</f>
      </c>
      <c r="AL40" s="5">
        <f>INDEX(CEA_TP_SOLVE($A$7:$D$9,D40,F40,C40,,,,,,$A$12:$A$24,$C$12:$C$31,$B$3,$B$4,$B$5),1,32)</f>
      </c>
      <c r="AM40" s="5">
        <f>INDEX(CEA_TP_SOLVE($A$7:$D$9,D40,F40,C40,,,,,,$A$12:$A$24,$C$12:$C$31,$B$3,$B$4,$B$5),1,33)</f>
      </c>
      <c r="AN40" s="5">
        <f>INDEX(CEA_TP_SOLVE($A$7:$D$9,D40,F40,C40,,,,,,$A$12:$A$24,$C$12:$C$31,$B$3,$B$4,$B$5),1,34)</f>
      </c>
      <c r="AO40" s="5">
        <f>INDEX(CEA_TP_SOLVE($A$7:$D$9,D40,F40,C40,,,,,,$A$12:$A$24,$C$12:$C$31,$B$3,$B$4,$B$5),1,35)</f>
      </c>
      <c r="AP40" s="5">
        <f>INDEX(CEA_TP_SOLVE($A$7:$D$9,D40,F40,C40,,,,,,$A$12:$A$24,$C$12:$C$31,$B$3,$B$4,$B$5),1,36)</f>
      </c>
      <c r="AQ40" s="5">
        <f>INDEX(CEA_TP_SOLVE($A$7:$D$9,D40,F40,C40,,,,,,$A$12:$A$24,$C$12:$C$31,$B$3,$B$4,$B$5),1,37)</f>
      </c>
      <c r="AR40" s="5">
        <f>INDEX(CEA_TP_SOLVE($A$7:$D$9,D40,F40,C40,,,,,,$A$12:$A$24,$C$12:$C$31,$B$3,$B$4,$B$5),1,38)</f>
      </c>
      <c r="AS40" s="5">
        <f>INDEX(CEA_TP_SOLVE($A$7:$D$9,D40,F40,C40,,,,,,$A$12:$A$24,$C$12:$C$31,$B$3,$B$4,$B$5),1,39)</f>
      </c>
      <c r="AT40" s="5">
        <f>INDEX(CEA_TP_SOLVE($A$7:$D$9,D40,F40,C40,,,,,,$A$12:$A$24,$C$12:$C$31,$B$3,$B$4,$B$5),1,40)</f>
      </c>
      <c r="AU40" s="5">
        <f>INDEX(CEA_TP_SOLVE($A$7:$D$9,D40,F40,C40,,,,,,$A$12:$A$24,$C$12:$C$31,$B$3,$B$4,$B$5),1,41)</f>
      </c>
      <c r="AV40" s="5">
        <f>INDEX(CEA_TP_SOLVE($A$7:$D$9,D40,F40,C40,,,,,,$A$12:$A$24,$C$12:$C$31,$B$3,$B$4,$B$5),1,42)</f>
      </c>
      <c r="AW40" s="5">
        <f>INDEX(CEA_TP_SOLVE($A$7:$D$9,D40,F40,C40,,,,,,$A$12:$A$24,$C$12:$C$31,$B$3,$B$4,$B$5),1,43)</f>
      </c>
      <c r="AX40" s="5">
        <f>INDEX(CEA_TP_SOLVE($A$7:$D$9,D40,F40,C40,,,,,,$A$12:$A$24,$C$12:$C$31,$B$3,$B$4,$B$5),1,44)</f>
      </c>
      <c r="AY40" s="5">
        <f>INDEX(CEA_TP_SOLVE($A$7:$D$9,D40,F40,C40,,,,,,$A$12:$A$24,$C$12:$C$31,$B$3,$B$4,$B$5),1,45)</f>
      </c>
      <c r="AZ40" s="5">
        <f>INDEX(CEA_TP_SOLVE($A$7:$D$9,D40,F40,C40,,,,,,$A$12:$A$24,$C$12:$C$31,$B$3,$B$4,$B$5),1,46)</f>
      </c>
      <c r="BA40" s="5">
        <f>INDEX(CEA_TP_SOLVE($A$7:$D$9,D40,F40,C40,,,,,,$A$12:$A$24,$C$12:$C$31,$B$3,$B$4,$B$5),1,47)</f>
      </c>
      <c r="BB40" s="5">
        <f>INDEX(CEA_TP_SOLVE($A$7:$D$9,D40,F40,C40,,,,,,$A$12:$A$24,$C$12:$C$31,$B$3,$B$4,$B$5),1,48)</f>
      </c>
      <c r="BC40" s="5">
        <f>INDEX(CEA_TP_SOLVE($A$7:$D$9,D40,F40,C40,,,,,,$A$12:$A$24,$C$12:$C$31,$B$3,$B$4,$B$5),1,49)</f>
      </c>
      <c r="BD40" s="5">
        <f>INDEX(CEA_TP_SOLVE($A$7:$D$9,D40,F40,C40,,,,,,$A$12:$A$24,$C$12:$C$31,$B$3,$B$4,$B$5),1,50)</f>
      </c>
      <c r="BE40" s="5">
        <f>INDEX(CEA_TP_SOLVE($A$7:$D$9,D40,F40,C40,,,,,,$A$12:$A$24,$C$12:$C$31,$B$3,$B$4,$B$5),1,51)</f>
      </c>
      <c r="BF40" s="5">
        <f>INDEX(CEA_TP_SOLVE($A$7:$D$9,D40,F40,C40,,,,,,$A$12:$A$24,$C$12:$C$31,$B$3,$B$4,$B$5),1,52)</f>
      </c>
      <c r="BG40" s="5">
        <f>INDEX(CEA_TP_SOLVE($A$7:$D$9,D40,F40,C40,,,,,,$A$12:$A$24,$C$12:$C$31,$B$3,$B$4,$B$5),1,53)</f>
      </c>
      <c r="BH40" s="5">
        <f>INDEX(CEA_TP_SOLVE($A$7:$D$9,D40,F40,C40,,,,,,$A$12:$A$24,$C$12:$C$31,$B$3,$B$4,$B$5),1,54)</f>
      </c>
      <c r="BI40" s="5">
        <f>INDEX(CEA_TP_SOLVE($A$7:$D$9,D40,F40,C40,,,,,,$A$12:$A$24,$C$12:$C$31,$B$3,$B$4,$B$5),1,55)</f>
      </c>
      <c r="BJ40" s="5">
        <f>INDEX(CEA_TP_SOLVE($A$7:$D$9,D40,F40,C40,,,,,,$A$12:$A$24,$C$12:$C$31,$B$3,$B$4,$B$5),1,56)</f>
      </c>
    </row>
    <row r="41" spans="1:62" x14ac:dyDescent="0.2">
      <c r="A41" s="9">
        <v>6</v>
      </c>
      <c r="B41" s="4">
        <v>1.0</v>
      </c>
      <c r="C41" s="5">
        <f>CEA_OF_FROM_EQUIVALENCE($A$7:$D$9,B41)</f>
      </c>
      <c r="D41" s="4">
        <v>2000.0</v>
      </c>
      <c r="E41" s="4">
        <v>0.01</v>
      </c>
      <c r="F41" s="5">
        <f>CEA_PRESSURE_SI(E41,"atm")</f>
      </c>
      <c r="G41" s="5">
        <f>INDEX(CEA_TP_SOLVE($A$7:$D$9,D41,F41,C41,,,,,,$A$12:$A$24,$C$12:$C$31,$B$3,$B$4,$B$5),1,1)</f>
      </c>
      <c r="H41" s="5">
        <f>INDEX(CEA_TP_SOLVE($A$7:$D$9,D41,F41,C41,,,,,,$A$12:$A$24,$C$12:$C$31,$B$3,$B$4,$B$5),1,2)</f>
      </c>
      <c r="I41" s="5">
        <f>INDEX(CEA_TP_SOLVE($A$7:$D$9,D41,F41,C41,,,,,,$A$12:$A$24,$C$12:$C$31,$B$3,$B$4,$B$5),1,3)</f>
      </c>
      <c r="J41" s="5">
        <f>INDEX(CEA_TP_SOLVE($A$7:$D$9,D41,F41,C41,,,,,,$A$12:$A$24,$C$12:$C$31,$B$3,$B$4,$B$5),1,4)</f>
      </c>
      <c r="K41" s="5">
        <f>INDEX(CEA_TP_SOLVE($A$7:$D$9,D41,F41,C41,,,,,,$A$12:$A$24,$C$12:$C$31,$B$3,$B$4,$B$5),1,5)</f>
      </c>
      <c r="L41" s="5">
        <f>INDEX(CEA_TP_SOLVE($A$7:$D$9,D41,F41,C41,,,,,,$A$12:$A$24,$C$12:$C$31,$B$3,$B$4,$B$5),1,6)</f>
      </c>
      <c r="M41" s="5">
        <f>INDEX(CEA_TP_SOLVE($A$7:$D$9,D41,F41,C41,,,,,,$A$12:$A$24,$C$12:$C$31,$B$3,$B$4,$B$5),1,7)</f>
      </c>
      <c r="N41" s="5">
        <f>INDEX(CEA_TP_SOLVE($A$7:$D$9,D41,F41,C41,,,,,,$A$12:$A$24,$C$12:$C$31,$B$3,$B$4,$B$5),1,8)</f>
      </c>
      <c r="O41" s="5">
        <f>INDEX(CEA_TP_SOLVE($A$7:$D$9,D41,F41,C41,,,,,,$A$12:$A$24,$C$12:$C$31,$B$3,$B$4,$B$5),1,9)</f>
      </c>
      <c r="P41" s="5">
        <f>INDEX(CEA_TP_SOLVE($A$7:$D$9,D41,F41,C41,,,,,,$A$12:$A$24,$C$12:$C$31,$B$3,$B$4,$B$5),1,10)</f>
      </c>
      <c r="Q41" s="5">
        <f>INDEX(CEA_TP_SOLVE($A$7:$D$9,D41,F41,C41,,,,,,$A$12:$A$24,$C$12:$C$31,$B$3,$B$4,$B$5),1,11)</f>
      </c>
      <c r="R41" s="5">
        <f>INDEX(CEA_TP_SOLVE($A$7:$D$9,D41,F41,C41,,,,,,$A$12:$A$24,$C$12:$C$31,$B$3,$B$4,$B$5),1,12)</f>
      </c>
      <c r="S41" s="5">
        <f>INDEX(CEA_TP_SOLVE($A$7:$D$9,D41,F41,C41,,,,,,$A$12:$A$24,$C$12:$C$31,$B$3,$B$4,$B$5),1,13)</f>
      </c>
      <c r="T41" s="5">
        <f>INDEX(CEA_TP_SOLVE($A$7:$D$9,D41,F41,C41,,,,,,$A$12:$A$24,$C$12:$C$31,$B$3,$B$4,$B$5),1,14)</f>
      </c>
      <c r="U41" s="5">
        <f>INDEX(CEA_TP_SOLVE($A$7:$D$9,D41,F41,C41,,,,,,$A$12:$A$24,$C$12:$C$31,$B$3,$B$4,$B$5),1,15)</f>
      </c>
      <c r="V41" s="5">
        <f>INDEX(CEA_TP_SOLVE($A$7:$D$9,D41,F41,C41,,,,,,$A$12:$A$24,$C$12:$C$31,$B$3,$B$4,$B$5),1,16)</f>
      </c>
      <c r="W41" s="5">
        <f>INDEX(CEA_TP_SOLVE($A$7:$D$9,D41,F41,C41,,,,,,$A$12:$A$24,$C$12:$C$31,$B$3,$B$4,$B$5),1,17)</f>
      </c>
      <c r="X41" s="5">
        <f>INDEX(CEA_TP_SOLVE($A$7:$D$9,D41,F41,C41,,,,,,$A$12:$A$24,$C$12:$C$31,$B$3,$B$4,$B$5),1,18)</f>
      </c>
      <c r="Y41" s="5">
        <f>INDEX(CEA_TP_SOLVE($A$7:$D$9,D41,F41,C41,,,,,,$A$12:$A$24,$C$12:$C$31,$B$3,$B$4,$B$5),1,19)</f>
      </c>
      <c r="Z41" s="5">
        <f>INDEX(CEA_TP_SOLVE($A$7:$D$9,D41,F41,C41,,,,,,$A$12:$A$24,$C$12:$C$31,$B$3,$B$4,$B$5),1,20)</f>
      </c>
      <c r="AA41" s="5">
        <f>INDEX(CEA_TP_SOLVE($A$7:$D$9,D41,F41,C41,,,,,,$A$12:$A$24,$C$12:$C$31,$B$3,$B$4,$B$5),1,21)</f>
      </c>
      <c r="AB41" s="5">
        <f>INDEX(CEA_TP_SOLVE($A$7:$D$9,D41,F41,C41,,,,,,$A$12:$A$24,$C$12:$C$31,$B$3,$B$4,$B$5),1,22)</f>
      </c>
      <c r="AC41" s="5">
        <f>INDEX(CEA_TP_SOLVE($A$7:$D$9,D41,F41,C41,,,,,,$A$12:$A$24,$C$12:$C$31,$B$3,$B$4,$B$5),1,23)</f>
      </c>
      <c r="AD41" s="5">
        <f>INDEX(CEA_TP_SOLVE($A$7:$D$9,D41,F41,C41,,,,,,$A$12:$A$24,$C$12:$C$31,$B$3,$B$4,$B$5),1,24)</f>
      </c>
      <c r="AE41" s="5">
        <f>INDEX(CEA_TP_SOLVE($A$7:$D$9,D41,F41,C41,,,,,,$A$12:$A$24,$C$12:$C$31,$B$3,$B$4,$B$5),1,25)</f>
      </c>
      <c r="AF41" s="5">
        <f>INDEX(CEA_TP_SOLVE($A$7:$D$9,D41,F41,C41,,,,,,$A$12:$A$24,$C$12:$C$31,$B$3,$B$4,$B$5),1,26)</f>
      </c>
      <c r="AG41" s="5">
        <f>INDEX(CEA_TP_SOLVE($A$7:$D$9,D41,F41,C41,,,,,,$A$12:$A$24,$C$12:$C$31,$B$3,$B$4,$B$5),1,27)</f>
      </c>
      <c r="AH41" s="5">
        <f>INDEX(CEA_TP_SOLVE($A$7:$D$9,D41,F41,C41,,,,,,$A$12:$A$24,$C$12:$C$31,$B$3,$B$4,$B$5),1,28)</f>
      </c>
      <c r="AI41" s="5">
        <f>INDEX(CEA_TP_SOLVE($A$7:$D$9,D41,F41,C41,,,,,,$A$12:$A$24,$C$12:$C$31,$B$3,$B$4,$B$5),1,29)</f>
      </c>
      <c r="AJ41" s="5">
        <f>INDEX(CEA_TP_SOLVE($A$7:$D$9,D41,F41,C41,,,,,,$A$12:$A$24,$C$12:$C$31,$B$3,$B$4,$B$5),1,30)</f>
      </c>
      <c r="AK41" s="5">
        <f>INDEX(CEA_TP_SOLVE($A$7:$D$9,D41,F41,C41,,,,,,$A$12:$A$24,$C$12:$C$31,$B$3,$B$4,$B$5),1,31)</f>
      </c>
      <c r="AL41" s="5">
        <f>INDEX(CEA_TP_SOLVE($A$7:$D$9,D41,F41,C41,,,,,,$A$12:$A$24,$C$12:$C$31,$B$3,$B$4,$B$5),1,32)</f>
      </c>
      <c r="AM41" s="5">
        <f>INDEX(CEA_TP_SOLVE($A$7:$D$9,D41,F41,C41,,,,,,$A$12:$A$24,$C$12:$C$31,$B$3,$B$4,$B$5),1,33)</f>
      </c>
      <c r="AN41" s="5">
        <f>INDEX(CEA_TP_SOLVE($A$7:$D$9,D41,F41,C41,,,,,,$A$12:$A$24,$C$12:$C$31,$B$3,$B$4,$B$5),1,34)</f>
      </c>
      <c r="AO41" s="5">
        <f>INDEX(CEA_TP_SOLVE($A$7:$D$9,D41,F41,C41,,,,,,$A$12:$A$24,$C$12:$C$31,$B$3,$B$4,$B$5),1,35)</f>
      </c>
      <c r="AP41" s="5">
        <f>INDEX(CEA_TP_SOLVE($A$7:$D$9,D41,F41,C41,,,,,,$A$12:$A$24,$C$12:$C$31,$B$3,$B$4,$B$5),1,36)</f>
      </c>
      <c r="AQ41" s="5">
        <f>INDEX(CEA_TP_SOLVE($A$7:$D$9,D41,F41,C41,,,,,,$A$12:$A$24,$C$12:$C$31,$B$3,$B$4,$B$5),1,37)</f>
      </c>
      <c r="AR41" s="5">
        <f>INDEX(CEA_TP_SOLVE($A$7:$D$9,D41,F41,C41,,,,,,$A$12:$A$24,$C$12:$C$31,$B$3,$B$4,$B$5),1,38)</f>
      </c>
      <c r="AS41" s="5">
        <f>INDEX(CEA_TP_SOLVE($A$7:$D$9,D41,F41,C41,,,,,,$A$12:$A$24,$C$12:$C$31,$B$3,$B$4,$B$5),1,39)</f>
      </c>
      <c r="AT41" s="5">
        <f>INDEX(CEA_TP_SOLVE($A$7:$D$9,D41,F41,C41,,,,,,$A$12:$A$24,$C$12:$C$31,$B$3,$B$4,$B$5),1,40)</f>
      </c>
      <c r="AU41" s="5">
        <f>INDEX(CEA_TP_SOLVE($A$7:$D$9,D41,F41,C41,,,,,,$A$12:$A$24,$C$12:$C$31,$B$3,$B$4,$B$5),1,41)</f>
      </c>
      <c r="AV41" s="5">
        <f>INDEX(CEA_TP_SOLVE($A$7:$D$9,D41,F41,C41,,,,,,$A$12:$A$24,$C$12:$C$31,$B$3,$B$4,$B$5),1,42)</f>
      </c>
      <c r="AW41" s="5">
        <f>INDEX(CEA_TP_SOLVE($A$7:$D$9,D41,F41,C41,,,,,,$A$12:$A$24,$C$12:$C$31,$B$3,$B$4,$B$5),1,43)</f>
      </c>
      <c r="AX41" s="5">
        <f>INDEX(CEA_TP_SOLVE($A$7:$D$9,D41,F41,C41,,,,,,$A$12:$A$24,$C$12:$C$31,$B$3,$B$4,$B$5),1,44)</f>
      </c>
      <c r="AY41" s="5">
        <f>INDEX(CEA_TP_SOLVE($A$7:$D$9,D41,F41,C41,,,,,,$A$12:$A$24,$C$12:$C$31,$B$3,$B$4,$B$5),1,45)</f>
      </c>
      <c r="AZ41" s="5">
        <f>INDEX(CEA_TP_SOLVE($A$7:$D$9,D41,F41,C41,,,,,,$A$12:$A$24,$C$12:$C$31,$B$3,$B$4,$B$5),1,46)</f>
      </c>
      <c r="BA41" s="5">
        <f>INDEX(CEA_TP_SOLVE($A$7:$D$9,D41,F41,C41,,,,,,$A$12:$A$24,$C$12:$C$31,$B$3,$B$4,$B$5),1,47)</f>
      </c>
      <c r="BB41" s="5">
        <f>INDEX(CEA_TP_SOLVE($A$7:$D$9,D41,F41,C41,,,,,,$A$12:$A$24,$C$12:$C$31,$B$3,$B$4,$B$5),1,48)</f>
      </c>
      <c r="BC41" s="5">
        <f>INDEX(CEA_TP_SOLVE($A$7:$D$9,D41,F41,C41,,,,,,$A$12:$A$24,$C$12:$C$31,$B$3,$B$4,$B$5),1,49)</f>
      </c>
      <c r="BD41" s="5">
        <f>INDEX(CEA_TP_SOLVE($A$7:$D$9,D41,F41,C41,,,,,,$A$12:$A$24,$C$12:$C$31,$B$3,$B$4,$B$5),1,50)</f>
      </c>
      <c r="BE41" s="5">
        <f>INDEX(CEA_TP_SOLVE($A$7:$D$9,D41,F41,C41,,,,,,$A$12:$A$24,$C$12:$C$31,$B$3,$B$4,$B$5),1,51)</f>
      </c>
      <c r="BF41" s="5">
        <f>INDEX(CEA_TP_SOLVE($A$7:$D$9,D41,F41,C41,,,,,,$A$12:$A$24,$C$12:$C$31,$B$3,$B$4,$B$5),1,52)</f>
      </c>
      <c r="BG41" s="5">
        <f>INDEX(CEA_TP_SOLVE($A$7:$D$9,D41,F41,C41,,,,,,$A$12:$A$24,$C$12:$C$31,$B$3,$B$4,$B$5),1,53)</f>
      </c>
      <c r="BH41" s="5">
        <f>INDEX(CEA_TP_SOLVE($A$7:$D$9,D41,F41,C41,,,,,,$A$12:$A$24,$C$12:$C$31,$B$3,$B$4,$B$5),1,54)</f>
      </c>
      <c r="BI41" s="5">
        <f>INDEX(CEA_TP_SOLVE($A$7:$D$9,D41,F41,C41,,,,,,$A$12:$A$24,$C$12:$C$31,$B$3,$B$4,$B$5),1,55)</f>
      </c>
      <c r="BJ41" s="5">
        <f>INDEX(CEA_TP_SOLVE($A$7:$D$9,D41,F41,C41,,,,,,$A$12:$A$24,$C$12:$C$31,$B$3,$B$4,$B$5),1,56)</f>
      </c>
    </row>
    <row r="42" spans="1:62" x14ac:dyDescent="0.2">
      <c r="A42" s="9">
        <v>7</v>
      </c>
      <c r="B42" s="4">
        <v>1.5</v>
      </c>
      <c r="C42" s="5">
        <f>CEA_OF_FROM_EQUIVALENCE($A$7:$D$9,B42)</f>
      </c>
      <c r="D42" s="4">
        <v>3000.0</v>
      </c>
      <c r="E42" s="4">
        <v>1.0</v>
      </c>
      <c r="F42" s="5">
        <f>CEA_PRESSURE_SI(E42,"atm")</f>
      </c>
      <c r="G42" s="5">
        <f>INDEX(CEA_TP_SOLVE($A$7:$D$9,D42,F42,C42,,,,,,$A$12:$A$24,$C$12:$C$31,$B$3,$B$4,$B$5),1,1)</f>
      </c>
      <c r="H42" s="5">
        <f>INDEX(CEA_TP_SOLVE($A$7:$D$9,D42,F42,C42,,,,,,$A$12:$A$24,$C$12:$C$31,$B$3,$B$4,$B$5),1,2)</f>
      </c>
      <c r="I42" s="5">
        <f>INDEX(CEA_TP_SOLVE($A$7:$D$9,D42,F42,C42,,,,,,$A$12:$A$24,$C$12:$C$31,$B$3,$B$4,$B$5),1,3)</f>
      </c>
      <c r="J42" s="5">
        <f>INDEX(CEA_TP_SOLVE($A$7:$D$9,D42,F42,C42,,,,,,$A$12:$A$24,$C$12:$C$31,$B$3,$B$4,$B$5),1,4)</f>
      </c>
      <c r="K42" s="5">
        <f>INDEX(CEA_TP_SOLVE($A$7:$D$9,D42,F42,C42,,,,,,$A$12:$A$24,$C$12:$C$31,$B$3,$B$4,$B$5),1,5)</f>
      </c>
      <c r="L42" s="5">
        <f>INDEX(CEA_TP_SOLVE($A$7:$D$9,D42,F42,C42,,,,,,$A$12:$A$24,$C$12:$C$31,$B$3,$B$4,$B$5),1,6)</f>
      </c>
      <c r="M42" s="5">
        <f>INDEX(CEA_TP_SOLVE($A$7:$D$9,D42,F42,C42,,,,,,$A$12:$A$24,$C$12:$C$31,$B$3,$B$4,$B$5),1,7)</f>
      </c>
      <c r="N42" s="5">
        <f>INDEX(CEA_TP_SOLVE($A$7:$D$9,D42,F42,C42,,,,,,$A$12:$A$24,$C$12:$C$31,$B$3,$B$4,$B$5),1,8)</f>
      </c>
      <c r="O42" s="5">
        <f>INDEX(CEA_TP_SOLVE($A$7:$D$9,D42,F42,C42,,,,,,$A$12:$A$24,$C$12:$C$31,$B$3,$B$4,$B$5),1,9)</f>
      </c>
      <c r="P42" s="5">
        <f>INDEX(CEA_TP_SOLVE($A$7:$D$9,D42,F42,C42,,,,,,$A$12:$A$24,$C$12:$C$31,$B$3,$B$4,$B$5),1,10)</f>
      </c>
      <c r="Q42" s="5">
        <f>INDEX(CEA_TP_SOLVE($A$7:$D$9,D42,F42,C42,,,,,,$A$12:$A$24,$C$12:$C$31,$B$3,$B$4,$B$5),1,11)</f>
      </c>
      <c r="R42" s="5">
        <f>INDEX(CEA_TP_SOLVE($A$7:$D$9,D42,F42,C42,,,,,,$A$12:$A$24,$C$12:$C$31,$B$3,$B$4,$B$5),1,12)</f>
      </c>
      <c r="S42" s="5">
        <f>INDEX(CEA_TP_SOLVE($A$7:$D$9,D42,F42,C42,,,,,,$A$12:$A$24,$C$12:$C$31,$B$3,$B$4,$B$5),1,13)</f>
      </c>
      <c r="T42" s="5">
        <f>INDEX(CEA_TP_SOLVE($A$7:$D$9,D42,F42,C42,,,,,,$A$12:$A$24,$C$12:$C$31,$B$3,$B$4,$B$5),1,14)</f>
      </c>
      <c r="U42" s="5">
        <f>INDEX(CEA_TP_SOLVE($A$7:$D$9,D42,F42,C42,,,,,,$A$12:$A$24,$C$12:$C$31,$B$3,$B$4,$B$5),1,15)</f>
      </c>
      <c r="V42" s="5">
        <f>INDEX(CEA_TP_SOLVE($A$7:$D$9,D42,F42,C42,,,,,,$A$12:$A$24,$C$12:$C$31,$B$3,$B$4,$B$5),1,16)</f>
      </c>
      <c r="W42" s="5">
        <f>INDEX(CEA_TP_SOLVE($A$7:$D$9,D42,F42,C42,,,,,,$A$12:$A$24,$C$12:$C$31,$B$3,$B$4,$B$5),1,17)</f>
      </c>
      <c r="X42" s="5">
        <f>INDEX(CEA_TP_SOLVE($A$7:$D$9,D42,F42,C42,,,,,,$A$12:$A$24,$C$12:$C$31,$B$3,$B$4,$B$5),1,18)</f>
      </c>
      <c r="Y42" s="5">
        <f>INDEX(CEA_TP_SOLVE($A$7:$D$9,D42,F42,C42,,,,,,$A$12:$A$24,$C$12:$C$31,$B$3,$B$4,$B$5),1,19)</f>
      </c>
      <c r="Z42" s="5">
        <f>INDEX(CEA_TP_SOLVE($A$7:$D$9,D42,F42,C42,,,,,,$A$12:$A$24,$C$12:$C$31,$B$3,$B$4,$B$5),1,20)</f>
      </c>
      <c r="AA42" s="5">
        <f>INDEX(CEA_TP_SOLVE($A$7:$D$9,D42,F42,C42,,,,,,$A$12:$A$24,$C$12:$C$31,$B$3,$B$4,$B$5),1,21)</f>
      </c>
      <c r="AB42" s="5">
        <f>INDEX(CEA_TP_SOLVE($A$7:$D$9,D42,F42,C42,,,,,,$A$12:$A$24,$C$12:$C$31,$B$3,$B$4,$B$5),1,22)</f>
      </c>
      <c r="AC42" s="5">
        <f>INDEX(CEA_TP_SOLVE($A$7:$D$9,D42,F42,C42,,,,,,$A$12:$A$24,$C$12:$C$31,$B$3,$B$4,$B$5),1,23)</f>
      </c>
      <c r="AD42" s="5">
        <f>INDEX(CEA_TP_SOLVE($A$7:$D$9,D42,F42,C42,,,,,,$A$12:$A$24,$C$12:$C$31,$B$3,$B$4,$B$5),1,24)</f>
      </c>
      <c r="AE42" s="5">
        <f>INDEX(CEA_TP_SOLVE($A$7:$D$9,D42,F42,C42,,,,,,$A$12:$A$24,$C$12:$C$31,$B$3,$B$4,$B$5),1,25)</f>
      </c>
      <c r="AF42" s="5">
        <f>INDEX(CEA_TP_SOLVE($A$7:$D$9,D42,F42,C42,,,,,,$A$12:$A$24,$C$12:$C$31,$B$3,$B$4,$B$5),1,26)</f>
      </c>
      <c r="AG42" s="5">
        <f>INDEX(CEA_TP_SOLVE($A$7:$D$9,D42,F42,C42,,,,,,$A$12:$A$24,$C$12:$C$31,$B$3,$B$4,$B$5),1,27)</f>
      </c>
      <c r="AH42" s="5">
        <f>INDEX(CEA_TP_SOLVE($A$7:$D$9,D42,F42,C42,,,,,,$A$12:$A$24,$C$12:$C$31,$B$3,$B$4,$B$5),1,28)</f>
      </c>
      <c r="AI42" s="5">
        <f>INDEX(CEA_TP_SOLVE($A$7:$D$9,D42,F42,C42,,,,,,$A$12:$A$24,$C$12:$C$31,$B$3,$B$4,$B$5),1,29)</f>
      </c>
      <c r="AJ42" s="5">
        <f>INDEX(CEA_TP_SOLVE($A$7:$D$9,D42,F42,C42,,,,,,$A$12:$A$24,$C$12:$C$31,$B$3,$B$4,$B$5),1,30)</f>
      </c>
      <c r="AK42" s="5">
        <f>INDEX(CEA_TP_SOLVE($A$7:$D$9,D42,F42,C42,,,,,,$A$12:$A$24,$C$12:$C$31,$B$3,$B$4,$B$5),1,31)</f>
      </c>
      <c r="AL42" s="5">
        <f>INDEX(CEA_TP_SOLVE($A$7:$D$9,D42,F42,C42,,,,,,$A$12:$A$24,$C$12:$C$31,$B$3,$B$4,$B$5),1,32)</f>
      </c>
      <c r="AM42" s="5">
        <f>INDEX(CEA_TP_SOLVE($A$7:$D$9,D42,F42,C42,,,,,,$A$12:$A$24,$C$12:$C$31,$B$3,$B$4,$B$5),1,33)</f>
      </c>
      <c r="AN42" s="5">
        <f>INDEX(CEA_TP_SOLVE($A$7:$D$9,D42,F42,C42,,,,,,$A$12:$A$24,$C$12:$C$31,$B$3,$B$4,$B$5),1,34)</f>
      </c>
      <c r="AO42" s="5">
        <f>INDEX(CEA_TP_SOLVE($A$7:$D$9,D42,F42,C42,,,,,,$A$12:$A$24,$C$12:$C$31,$B$3,$B$4,$B$5),1,35)</f>
      </c>
      <c r="AP42" s="5">
        <f>INDEX(CEA_TP_SOLVE($A$7:$D$9,D42,F42,C42,,,,,,$A$12:$A$24,$C$12:$C$31,$B$3,$B$4,$B$5),1,36)</f>
      </c>
      <c r="AQ42" s="5">
        <f>INDEX(CEA_TP_SOLVE($A$7:$D$9,D42,F42,C42,,,,,,$A$12:$A$24,$C$12:$C$31,$B$3,$B$4,$B$5),1,37)</f>
      </c>
      <c r="AR42" s="5">
        <f>INDEX(CEA_TP_SOLVE($A$7:$D$9,D42,F42,C42,,,,,,$A$12:$A$24,$C$12:$C$31,$B$3,$B$4,$B$5),1,38)</f>
      </c>
      <c r="AS42" s="5">
        <f>INDEX(CEA_TP_SOLVE($A$7:$D$9,D42,F42,C42,,,,,,$A$12:$A$24,$C$12:$C$31,$B$3,$B$4,$B$5),1,39)</f>
      </c>
      <c r="AT42" s="5">
        <f>INDEX(CEA_TP_SOLVE($A$7:$D$9,D42,F42,C42,,,,,,$A$12:$A$24,$C$12:$C$31,$B$3,$B$4,$B$5),1,40)</f>
      </c>
      <c r="AU42" s="5">
        <f>INDEX(CEA_TP_SOLVE($A$7:$D$9,D42,F42,C42,,,,,,$A$12:$A$24,$C$12:$C$31,$B$3,$B$4,$B$5),1,41)</f>
      </c>
      <c r="AV42" s="5">
        <f>INDEX(CEA_TP_SOLVE($A$7:$D$9,D42,F42,C42,,,,,,$A$12:$A$24,$C$12:$C$31,$B$3,$B$4,$B$5),1,42)</f>
      </c>
      <c r="AW42" s="5">
        <f>INDEX(CEA_TP_SOLVE($A$7:$D$9,D42,F42,C42,,,,,,$A$12:$A$24,$C$12:$C$31,$B$3,$B$4,$B$5),1,43)</f>
      </c>
      <c r="AX42" s="5">
        <f>INDEX(CEA_TP_SOLVE($A$7:$D$9,D42,F42,C42,,,,,,$A$12:$A$24,$C$12:$C$31,$B$3,$B$4,$B$5),1,44)</f>
      </c>
      <c r="AY42" s="5">
        <f>INDEX(CEA_TP_SOLVE($A$7:$D$9,D42,F42,C42,,,,,,$A$12:$A$24,$C$12:$C$31,$B$3,$B$4,$B$5),1,45)</f>
      </c>
      <c r="AZ42" s="5">
        <f>INDEX(CEA_TP_SOLVE($A$7:$D$9,D42,F42,C42,,,,,,$A$12:$A$24,$C$12:$C$31,$B$3,$B$4,$B$5),1,46)</f>
      </c>
      <c r="BA42" s="5">
        <f>INDEX(CEA_TP_SOLVE($A$7:$D$9,D42,F42,C42,,,,,,$A$12:$A$24,$C$12:$C$31,$B$3,$B$4,$B$5),1,47)</f>
      </c>
      <c r="BB42" s="5">
        <f>INDEX(CEA_TP_SOLVE($A$7:$D$9,D42,F42,C42,,,,,,$A$12:$A$24,$C$12:$C$31,$B$3,$B$4,$B$5),1,48)</f>
      </c>
      <c r="BC42" s="5">
        <f>INDEX(CEA_TP_SOLVE($A$7:$D$9,D42,F42,C42,,,,,,$A$12:$A$24,$C$12:$C$31,$B$3,$B$4,$B$5),1,49)</f>
      </c>
      <c r="BD42" s="5">
        <f>INDEX(CEA_TP_SOLVE($A$7:$D$9,D42,F42,C42,,,,,,$A$12:$A$24,$C$12:$C$31,$B$3,$B$4,$B$5),1,50)</f>
      </c>
      <c r="BE42" s="5">
        <f>INDEX(CEA_TP_SOLVE($A$7:$D$9,D42,F42,C42,,,,,,$A$12:$A$24,$C$12:$C$31,$B$3,$B$4,$B$5),1,51)</f>
      </c>
      <c r="BF42" s="5">
        <f>INDEX(CEA_TP_SOLVE($A$7:$D$9,D42,F42,C42,,,,,,$A$12:$A$24,$C$12:$C$31,$B$3,$B$4,$B$5),1,52)</f>
      </c>
      <c r="BG42" s="5">
        <f>INDEX(CEA_TP_SOLVE($A$7:$D$9,D42,F42,C42,,,,,,$A$12:$A$24,$C$12:$C$31,$B$3,$B$4,$B$5),1,53)</f>
      </c>
      <c r="BH42" s="5">
        <f>INDEX(CEA_TP_SOLVE($A$7:$D$9,D42,F42,C42,,,,,,$A$12:$A$24,$C$12:$C$31,$B$3,$B$4,$B$5),1,54)</f>
      </c>
      <c r="BI42" s="5">
        <f>INDEX(CEA_TP_SOLVE($A$7:$D$9,D42,F42,C42,,,,,,$A$12:$A$24,$C$12:$C$31,$B$3,$B$4,$B$5),1,55)</f>
      </c>
      <c r="BJ42" s="5">
        <f>INDEX(CEA_TP_SOLVE($A$7:$D$9,D42,F42,C42,,,,,,$A$12:$A$24,$C$12:$C$31,$B$3,$B$4,$B$5),1,56)</f>
      </c>
    </row>
    <row r="43" spans="1:62" x14ac:dyDescent="0.2">
      <c r="A43" s="9">
        <v>8</v>
      </c>
      <c r="B43" s="4">
        <v>1.5</v>
      </c>
      <c r="C43" s="5">
        <f>CEA_OF_FROM_EQUIVALENCE($A$7:$D$9,B43)</f>
      </c>
      <c r="D43" s="4">
        <v>2000.0</v>
      </c>
      <c r="E43" s="4">
        <v>1.0</v>
      </c>
      <c r="F43" s="5">
        <f>CEA_PRESSURE_SI(E43,"atm")</f>
      </c>
      <c r="G43" s="5">
        <f>INDEX(CEA_TP_SOLVE($A$7:$D$9,D43,F43,C43,,,,,,$A$12:$A$24,$C$12:$C$31,$B$3,$B$4,$B$5),1,1)</f>
      </c>
      <c r="H43" s="5">
        <f>INDEX(CEA_TP_SOLVE($A$7:$D$9,D43,F43,C43,,,,,,$A$12:$A$24,$C$12:$C$31,$B$3,$B$4,$B$5),1,2)</f>
      </c>
      <c r="I43" s="5">
        <f>INDEX(CEA_TP_SOLVE($A$7:$D$9,D43,F43,C43,,,,,,$A$12:$A$24,$C$12:$C$31,$B$3,$B$4,$B$5),1,3)</f>
      </c>
      <c r="J43" s="5">
        <f>INDEX(CEA_TP_SOLVE($A$7:$D$9,D43,F43,C43,,,,,,$A$12:$A$24,$C$12:$C$31,$B$3,$B$4,$B$5),1,4)</f>
      </c>
      <c r="K43" s="5">
        <f>INDEX(CEA_TP_SOLVE($A$7:$D$9,D43,F43,C43,,,,,,$A$12:$A$24,$C$12:$C$31,$B$3,$B$4,$B$5),1,5)</f>
      </c>
      <c r="L43" s="5">
        <f>INDEX(CEA_TP_SOLVE($A$7:$D$9,D43,F43,C43,,,,,,$A$12:$A$24,$C$12:$C$31,$B$3,$B$4,$B$5),1,6)</f>
      </c>
      <c r="M43" s="5">
        <f>INDEX(CEA_TP_SOLVE($A$7:$D$9,D43,F43,C43,,,,,,$A$12:$A$24,$C$12:$C$31,$B$3,$B$4,$B$5),1,7)</f>
      </c>
      <c r="N43" s="5">
        <f>INDEX(CEA_TP_SOLVE($A$7:$D$9,D43,F43,C43,,,,,,$A$12:$A$24,$C$12:$C$31,$B$3,$B$4,$B$5),1,8)</f>
      </c>
      <c r="O43" s="5">
        <f>INDEX(CEA_TP_SOLVE($A$7:$D$9,D43,F43,C43,,,,,,$A$12:$A$24,$C$12:$C$31,$B$3,$B$4,$B$5),1,9)</f>
      </c>
      <c r="P43" s="5">
        <f>INDEX(CEA_TP_SOLVE($A$7:$D$9,D43,F43,C43,,,,,,$A$12:$A$24,$C$12:$C$31,$B$3,$B$4,$B$5),1,10)</f>
      </c>
      <c r="Q43" s="5">
        <f>INDEX(CEA_TP_SOLVE($A$7:$D$9,D43,F43,C43,,,,,,$A$12:$A$24,$C$12:$C$31,$B$3,$B$4,$B$5),1,11)</f>
      </c>
      <c r="R43" s="5">
        <f>INDEX(CEA_TP_SOLVE($A$7:$D$9,D43,F43,C43,,,,,,$A$12:$A$24,$C$12:$C$31,$B$3,$B$4,$B$5),1,12)</f>
      </c>
      <c r="S43" s="5">
        <f>INDEX(CEA_TP_SOLVE($A$7:$D$9,D43,F43,C43,,,,,,$A$12:$A$24,$C$12:$C$31,$B$3,$B$4,$B$5),1,13)</f>
      </c>
      <c r="T43" s="5">
        <f>INDEX(CEA_TP_SOLVE($A$7:$D$9,D43,F43,C43,,,,,,$A$12:$A$24,$C$12:$C$31,$B$3,$B$4,$B$5),1,14)</f>
      </c>
      <c r="U43" s="5">
        <f>INDEX(CEA_TP_SOLVE($A$7:$D$9,D43,F43,C43,,,,,,$A$12:$A$24,$C$12:$C$31,$B$3,$B$4,$B$5),1,15)</f>
      </c>
      <c r="V43" s="5">
        <f>INDEX(CEA_TP_SOLVE($A$7:$D$9,D43,F43,C43,,,,,,$A$12:$A$24,$C$12:$C$31,$B$3,$B$4,$B$5),1,16)</f>
      </c>
      <c r="W43" s="5">
        <f>INDEX(CEA_TP_SOLVE($A$7:$D$9,D43,F43,C43,,,,,,$A$12:$A$24,$C$12:$C$31,$B$3,$B$4,$B$5),1,17)</f>
      </c>
      <c r="X43" s="5">
        <f>INDEX(CEA_TP_SOLVE($A$7:$D$9,D43,F43,C43,,,,,,$A$12:$A$24,$C$12:$C$31,$B$3,$B$4,$B$5),1,18)</f>
      </c>
      <c r="Y43" s="5">
        <f>INDEX(CEA_TP_SOLVE($A$7:$D$9,D43,F43,C43,,,,,,$A$12:$A$24,$C$12:$C$31,$B$3,$B$4,$B$5),1,19)</f>
      </c>
      <c r="Z43" s="5">
        <f>INDEX(CEA_TP_SOLVE($A$7:$D$9,D43,F43,C43,,,,,,$A$12:$A$24,$C$12:$C$31,$B$3,$B$4,$B$5),1,20)</f>
      </c>
      <c r="AA43" s="5">
        <f>INDEX(CEA_TP_SOLVE($A$7:$D$9,D43,F43,C43,,,,,,$A$12:$A$24,$C$12:$C$31,$B$3,$B$4,$B$5),1,21)</f>
      </c>
      <c r="AB43" s="5">
        <f>INDEX(CEA_TP_SOLVE($A$7:$D$9,D43,F43,C43,,,,,,$A$12:$A$24,$C$12:$C$31,$B$3,$B$4,$B$5),1,22)</f>
      </c>
      <c r="AC43" s="5">
        <f>INDEX(CEA_TP_SOLVE($A$7:$D$9,D43,F43,C43,,,,,,$A$12:$A$24,$C$12:$C$31,$B$3,$B$4,$B$5),1,23)</f>
      </c>
      <c r="AD43" s="5">
        <f>INDEX(CEA_TP_SOLVE($A$7:$D$9,D43,F43,C43,,,,,,$A$12:$A$24,$C$12:$C$31,$B$3,$B$4,$B$5),1,24)</f>
      </c>
      <c r="AE43" s="5">
        <f>INDEX(CEA_TP_SOLVE($A$7:$D$9,D43,F43,C43,,,,,,$A$12:$A$24,$C$12:$C$31,$B$3,$B$4,$B$5),1,25)</f>
      </c>
      <c r="AF43" s="5">
        <f>INDEX(CEA_TP_SOLVE($A$7:$D$9,D43,F43,C43,,,,,,$A$12:$A$24,$C$12:$C$31,$B$3,$B$4,$B$5),1,26)</f>
      </c>
      <c r="AG43" s="5">
        <f>INDEX(CEA_TP_SOLVE($A$7:$D$9,D43,F43,C43,,,,,,$A$12:$A$24,$C$12:$C$31,$B$3,$B$4,$B$5),1,27)</f>
      </c>
      <c r="AH43" s="5">
        <f>INDEX(CEA_TP_SOLVE($A$7:$D$9,D43,F43,C43,,,,,,$A$12:$A$24,$C$12:$C$31,$B$3,$B$4,$B$5),1,28)</f>
      </c>
      <c r="AI43" s="5">
        <f>INDEX(CEA_TP_SOLVE($A$7:$D$9,D43,F43,C43,,,,,,$A$12:$A$24,$C$12:$C$31,$B$3,$B$4,$B$5),1,29)</f>
      </c>
      <c r="AJ43" s="5">
        <f>INDEX(CEA_TP_SOLVE($A$7:$D$9,D43,F43,C43,,,,,,$A$12:$A$24,$C$12:$C$31,$B$3,$B$4,$B$5),1,30)</f>
      </c>
      <c r="AK43" s="5">
        <f>INDEX(CEA_TP_SOLVE($A$7:$D$9,D43,F43,C43,,,,,,$A$12:$A$24,$C$12:$C$31,$B$3,$B$4,$B$5),1,31)</f>
      </c>
      <c r="AL43" s="5">
        <f>INDEX(CEA_TP_SOLVE($A$7:$D$9,D43,F43,C43,,,,,,$A$12:$A$24,$C$12:$C$31,$B$3,$B$4,$B$5),1,32)</f>
      </c>
      <c r="AM43" s="5">
        <f>INDEX(CEA_TP_SOLVE($A$7:$D$9,D43,F43,C43,,,,,,$A$12:$A$24,$C$12:$C$31,$B$3,$B$4,$B$5),1,33)</f>
      </c>
      <c r="AN43" s="5">
        <f>INDEX(CEA_TP_SOLVE($A$7:$D$9,D43,F43,C43,,,,,,$A$12:$A$24,$C$12:$C$31,$B$3,$B$4,$B$5),1,34)</f>
      </c>
      <c r="AO43" s="5">
        <f>INDEX(CEA_TP_SOLVE($A$7:$D$9,D43,F43,C43,,,,,,$A$12:$A$24,$C$12:$C$31,$B$3,$B$4,$B$5),1,35)</f>
      </c>
      <c r="AP43" s="5">
        <f>INDEX(CEA_TP_SOLVE($A$7:$D$9,D43,F43,C43,,,,,,$A$12:$A$24,$C$12:$C$31,$B$3,$B$4,$B$5),1,36)</f>
      </c>
      <c r="AQ43" s="5">
        <f>INDEX(CEA_TP_SOLVE($A$7:$D$9,D43,F43,C43,,,,,,$A$12:$A$24,$C$12:$C$31,$B$3,$B$4,$B$5),1,37)</f>
      </c>
      <c r="AR43" s="5">
        <f>INDEX(CEA_TP_SOLVE($A$7:$D$9,D43,F43,C43,,,,,,$A$12:$A$24,$C$12:$C$31,$B$3,$B$4,$B$5),1,38)</f>
      </c>
      <c r="AS43" s="5">
        <f>INDEX(CEA_TP_SOLVE($A$7:$D$9,D43,F43,C43,,,,,,$A$12:$A$24,$C$12:$C$31,$B$3,$B$4,$B$5),1,39)</f>
      </c>
      <c r="AT43" s="5">
        <f>INDEX(CEA_TP_SOLVE($A$7:$D$9,D43,F43,C43,,,,,,$A$12:$A$24,$C$12:$C$31,$B$3,$B$4,$B$5),1,40)</f>
      </c>
      <c r="AU43" s="5">
        <f>INDEX(CEA_TP_SOLVE($A$7:$D$9,D43,F43,C43,,,,,,$A$12:$A$24,$C$12:$C$31,$B$3,$B$4,$B$5),1,41)</f>
      </c>
      <c r="AV43" s="5">
        <f>INDEX(CEA_TP_SOLVE($A$7:$D$9,D43,F43,C43,,,,,,$A$12:$A$24,$C$12:$C$31,$B$3,$B$4,$B$5),1,42)</f>
      </c>
      <c r="AW43" s="5">
        <f>INDEX(CEA_TP_SOLVE($A$7:$D$9,D43,F43,C43,,,,,,$A$12:$A$24,$C$12:$C$31,$B$3,$B$4,$B$5),1,43)</f>
      </c>
      <c r="AX43" s="5">
        <f>INDEX(CEA_TP_SOLVE($A$7:$D$9,D43,F43,C43,,,,,,$A$12:$A$24,$C$12:$C$31,$B$3,$B$4,$B$5),1,44)</f>
      </c>
      <c r="AY43" s="5">
        <f>INDEX(CEA_TP_SOLVE($A$7:$D$9,D43,F43,C43,,,,,,$A$12:$A$24,$C$12:$C$31,$B$3,$B$4,$B$5),1,45)</f>
      </c>
      <c r="AZ43" s="5">
        <f>INDEX(CEA_TP_SOLVE($A$7:$D$9,D43,F43,C43,,,,,,$A$12:$A$24,$C$12:$C$31,$B$3,$B$4,$B$5),1,46)</f>
      </c>
      <c r="BA43" s="5">
        <f>INDEX(CEA_TP_SOLVE($A$7:$D$9,D43,F43,C43,,,,,,$A$12:$A$24,$C$12:$C$31,$B$3,$B$4,$B$5),1,47)</f>
      </c>
      <c r="BB43" s="5">
        <f>INDEX(CEA_TP_SOLVE($A$7:$D$9,D43,F43,C43,,,,,,$A$12:$A$24,$C$12:$C$31,$B$3,$B$4,$B$5),1,48)</f>
      </c>
      <c r="BC43" s="5">
        <f>INDEX(CEA_TP_SOLVE($A$7:$D$9,D43,F43,C43,,,,,,$A$12:$A$24,$C$12:$C$31,$B$3,$B$4,$B$5),1,49)</f>
      </c>
      <c r="BD43" s="5">
        <f>INDEX(CEA_TP_SOLVE($A$7:$D$9,D43,F43,C43,,,,,,$A$12:$A$24,$C$12:$C$31,$B$3,$B$4,$B$5),1,50)</f>
      </c>
      <c r="BE43" s="5">
        <f>INDEX(CEA_TP_SOLVE($A$7:$D$9,D43,F43,C43,,,,,,$A$12:$A$24,$C$12:$C$31,$B$3,$B$4,$B$5),1,51)</f>
      </c>
      <c r="BF43" s="5">
        <f>INDEX(CEA_TP_SOLVE($A$7:$D$9,D43,F43,C43,,,,,,$A$12:$A$24,$C$12:$C$31,$B$3,$B$4,$B$5),1,52)</f>
      </c>
      <c r="BG43" s="5">
        <f>INDEX(CEA_TP_SOLVE($A$7:$D$9,D43,F43,C43,,,,,,$A$12:$A$24,$C$12:$C$31,$B$3,$B$4,$B$5),1,53)</f>
      </c>
      <c r="BH43" s="5">
        <f>INDEX(CEA_TP_SOLVE($A$7:$D$9,D43,F43,C43,,,,,,$A$12:$A$24,$C$12:$C$31,$B$3,$B$4,$B$5),1,54)</f>
      </c>
      <c r="BI43" s="5">
        <f>INDEX(CEA_TP_SOLVE($A$7:$D$9,D43,F43,C43,,,,,,$A$12:$A$24,$C$12:$C$31,$B$3,$B$4,$B$5),1,55)</f>
      </c>
      <c r="BJ43" s="5">
        <f>INDEX(CEA_TP_SOLVE($A$7:$D$9,D43,F43,C43,,,,,,$A$12:$A$24,$C$12:$C$31,$B$3,$B$4,$B$5),1,56)</f>
      </c>
    </row>
    <row r="44" spans="1:62" x14ac:dyDescent="0.2">
      <c r="A44" s="9">
        <v>9</v>
      </c>
      <c r="B44" s="4">
        <v>1.5</v>
      </c>
      <c r="C44" s="5">
        <f>CEA_OF_FROM_EQUIVALENCE($A$7:$D$9,B44)</f>
      </c>
      <c r="D44" s="4">
        <v>3000.0</v>
      </c>
      <c r="E44" s="4">
        <v>0.1</v>
      </c>
      <c r="F44" s="5">
        <f>CEA_PRESSURE_SI(E44,"atm")</f>
      </c>
      <c r="G44" s="5">
        <f>INDEX(CEA_TP_SOLVE($A$7:$D$9,D44,F44,C44,,,,,,$A$12:$A$24,$C$12:$C$31,$B$3,$B$4,$B$5),1,1)</f>
      </c>
      <c r="H44" s="5">
        <f>INDEX(CEA_TP_SOLVE($A$7:$D$9,D44,F44,C44,,,,,,$A$12:$A$24,$C$12:$C$31,$B$3,$B$4,$B$5),1,2)</f>
      </c>
      <c r="I44" s="5">
        <f>INDEX(CEA_TP_SOLVE($A$7:$D$9,D44,F44,C44,,,,,,$A$12:$A$24,$C$12:$C$31,$B$3,$B$4,$B$5),1,3)</f>
      </c>
      <c r="J44" s="5">
        <f>INDEX(CEA_TP_SOLVE($A$7:$D$9,D44,F44,C44,,,,,,$A$12:$A$24,$C$12:$C$31,$B$3,$B$4,$B$5),1,4)</f>
      </c>
      <c r="K44" s="5">
        <f>INDEX(CEA_TP_SOLVE($A$7:$D$9,D44,F44,C44,,,,,,$A$12:$A$24,$C$12:$C$31,$B$3,$B$4,$B$5),1,5)</f>
      </c>
      <c r="L44" s="5">
        <f>INDEX(CEA_TP_SOLVE($A$7:$D$9,D44,F44,C44,,,,,,$A$12:$A$24,$C$12:$C$31,$B$3,$B$4,$B$5),1,6)</f>
      </c>
      <c r="M44" s="5">
        <f>INDEX(CEA_TP_SOLVE($A$7:$D$9,D44,F44,C44,,,,,,$A$12:$A$24,$C$12:$C$31,$B$3,$B$4,$B$5),1,7)</f>
      </c>
      <c r="N44" s="5">
        <f>INDEX(CEA_TP_SOLVE($A$7:$D$9,D44,F44,C44,,,,,,$A$12:$A$24,$C$12:$C$31,$B$3,$B$4,$B$5),1,8)</f>
      </c>
      <c r="O44" s="5">
        <f>INDEX(CEA_TP_SOLVE($A$7:$D$9,D44,F44,C44,,,,,,$A$12:$A$24,$C$12:$C$31,$B$3,$B$4,$B$5),1,9)</f>
      </c>
      <c r="P44" s="5">
        <f>INDEX(CEA_TP_SOLVE($A$7:$D$9,D44,F44,C44,,,,,,$A$12:$A$24,$C$12:$C$31,$B$3,$B$4,$B$5),1,10)</f>
      </c>
      <c r="Q44" s="5">
        <f>INDEX(CEA_TP_SOLVE($A$7:$D$9,D44,F44,C44,,,,,,$A$12:$A$24,$C$12:$C$31,$B$3,$B$4,$B$5),1,11)</f>
      </c>
      <c r="R44" s="5">
        <f>INDEX(CEA_TP_SOLVE($A$7:$D$9,D44,F44,C44,,,,,,$A$12:$A$24,$C$12:$C$31,$B$3,$B$4,$B$5),1,12)</f>
      </c>
      <c r="S44" s="5">
        <f>INDEX(CEA_TP_SOLVE($A$7:$D$9,D44,F44,C44,,,,,,$A$12:$A$24,$C$12:$C$31,$B$3,$B$4,$B$5),1,13)</f>
      </c>
      <c r="T44" s="5">
        <f>INDEX(CEA_TP_SOLVE($A$7:$D$9,D44,F44,C44,,,,,,$A$12:$A$24,$C$12:$C$31,$B$3,$B$4,$B$5),1,14)</f>
      </c>
      <c r="U44" s="5">
        <f>INDEX(CEA_TP_SOLVE($A$7:$D$9,D44,F44,C44,,,,,,$A$12:$A$24,$C$12:$C$31,$B$3,$B$4,$B$5),1,15)</f>
      </c>
      <c r="V44" s="5">
        <f>INDEX(CEA_TP_SOLVE($A$7:$D$9,D44,F44,C44,,,,,,$A$12:$A$24,$C$12:$C$31,$B$3,$B$4,$B$5),1,16)</f>
      </c>
      <c r="W44" s="5">
        <f>INDEX(CEA_TP_SOLVE($A$7:$D$9,D44,F44,C44,,,,,,$A$12:$A$24,$C$12:$C$31,$B$3,$B$4,$B$5),1,17)</f>
      </c>
      <c r="X44" s="5">
        <f>INDEX(CEA_TP_SOLVE($A$7:$D$9,D44,F44,C44,,,,,,$A$12:$A$24,$C$12:$C$31,$B$3,$B$4,$B$5),1,18)</f>
      </c>
      <c r="Y44" s="5">
        <f>INDEX(CEA_TP_SOLVE($A$7:$D$9,D44,F44,C44,,,,,,$A$12:$A$24,$C$12:$C$31,$B$3,$B$4,$B$5),1,19)</f>
      </c>
      <c r="Z44" s="5">
        <f>INDEX(CEA_TP_SOLVE($A$7:$D$9,D44,F44,C44,,,,,,$A$12:$A$24,$C$12:$C$31,$B$3,$B$4,$B$5),1,20)</f>
      </c>
      <c r="AA44" s="5">
        <f>INDEX(CEA_TP_SOLVE($A$7:$D$9,D44,F44,C44,,,,,,$A$12:$A$24,$C$12:$C$31,$B$3,$B$4,$B$5),1,21)</f>
      </c>
      <c r="AB44" s="5">
        <f>INDEX(CEA_TP_SOLVE($A$7:$D$9,D44,F44,C44,,,,,,$A$12:$A$24,$C$12:$C$31,$B$3,$B$4,$B$5),1,22)</f>
      </c>
      <c r="AC44" s="5">
        <f>INDEX(CEA_TP_SOLVE($A$7:$D$9,D44,F44,C44,,,,,,$A$12:$A$24,$C$12:$C$31,$B$3,$B$4,$B$5),1,23)</f>
      </c>
      <c r="AD44" s="5">
        <f>INDEX(CEA_TP_SOLVE($A$7:$D$9,D44,F44,C44,,,,,,$A$12:$A$24,$C$12:$C$31,$B$3,$B$4,$B$5),1,24)</f>
      </c>
      <c r="AE44" s="5">
        <f>INDEX(CEA_TP_SOLVE($A$7:$D$9,D44,F44,C44,,,,,,$A$12:$A$24,$C$12:$C$31,$B$3,$B$4,$B$5),1,25)</f>
      </c>
      <c r="AF44" s="5">
        <f>INDEX(CEA_TP_SOLVE($A$7:$D$9,D44,F44,C44,,,,,,$A$12:$A$24,$C$12:$C$31,$B$3,$B$4,$B$5),1,26)</f>
      </c>
      <c r="AG44" s="5">
        <f>INDEX(CEA_TP_SOLVE($A$7:$D$9,D44,F44,C44,,,,,,$A$12:$A$24,$C$12:$C$31,$B$3,$B$4,$B$5),1,27)</f>
      </c>
      <c r="AH44" s="5">
        <f>INDEX(CEA_TP_SOLVE($A$7:$D$9,D44,F44,C44,,,,,,$A$12:$A$24,$C$12:$C$31,$B$3,$B$4,$B$5),1,28)</f>
      </c>
      <c r="AI44" s="5">
        <f>INDEX(CEA_TP_SOLVE($A$7:$D$9,D44,F44,C44,,,,,,$A$12:$A$24,$C$12:$C$31,$B$3,$B$4,$B$5),1,29)</f>
      </c>
      <c r="AJ44" s="5">
        <f>INDEX(CEA_TP_SOLVE($A$7:$D$9,D44,F44,C44,,,,,,$A$12:$A$24,$C$12:$C$31,$B$3,$B$4,$B$5),1,30)</f>
      </c>
      <c r="AK44" s="5">
        <f>INDEX(CEA_TP_SOLVE($A$7:$D$9,D44,F44,C44,,,,,,$A$12:$A$24,$C$12:$C$31,$B$3,$B$4,$B$5),1,31)</f>
      </c>
      <c r="AL44" s="5">
        <f>INDEX(CEA_TP_SOLVE($A$7:$D$9,D44,F44,C44,,,,,,$A$12:$A$24,$C$12:$C$31,$B$3,$B$4,$B$5),1,32)</f>
      </c>
      <c r="AM44" s="5">
        <f>INDEX(CEA_TP_SOLVE($A$7:$D$9,D44,F44,C44,,,,,,$A$12:$A$24,$C$12:$C$31,$B$3,$B$4,$B$5),1,33)</f>
      </c>
      <c r="AN44" s="5">
        <f>INDEX(CEA_TP_SOLVE($A$7:$D$9,D44,F44,C44,,,,,,$A$12:$A$24,$C$12:$C$31,$B$3,$B$4,$B$5),1,34)</f>
      </c>
      <c r="AO44" s="5">
        <f>INDEX(CEA_TP_SOLVE($A$7:$D$9,D44,F44,C44,,,,,,$A$12:$A$24,$C$12:$C$31,$B$3,$B$4,$B$5),1,35)</f>
      </c>
      <c r="AP44" s="5">
        <f>INDEX(CEA_TP_SOLVE($A$7:$D$9,D44,F44,C44,,,,,,$A$12:$A$24,$C$12:$C$31,$B$3,$B$4,$B$5),1,36)</f>
      </c>
      <c r="AQ44" s="5">
        <f>INDEX(CEA_TP_SOLVE($A$7:$D$9,D44,F44,C44,,,,,,$A$12:$A$24,$C$12:$C$31,$B$3,$B$4,$B$5),1,37)</f>
      </c>
      <c r="AR44" s="5">
        <f>INDEX(CEA_TP_SOLVE($A$7:$D$9,D44,F44,C44,,,,,,$A$12:$A$24,$C$12:$C$31,$B$3,$B$4,$B$5),1,38)</f>
      </c>
      <c r="AS44" s="5">
        <f>INDEX(CEA_TP_SOLVE($A$7:$D$9,D44,F44,C44,,,,,,$A$12:$A$24,$C$12:$C$31,$B$3,$B$4,$B$5),1,39)</f>
      </c>
      <c r="AT44" s="5">
        <f>INDEX(CEA_TP_SOLVE($A$7:$D$9,D44,F44,C44,,,,,,$A$12:$A$24,$C$12:$C$31,$B$3,$B$4,$B$5),1,40)</f>
      </c>
      <c r="AU44" s="5">
        <f>INDEX(CEA_TP_SOLVE($A$7:$D$9,D44,F44,C44,,,,,,$A$12:$A$24,$C$12:$C$31,$B$3,$B$4,$B$5),1,41)</f>
      </c>
      <c r="AV44" s="5">
        <f>INDEX(CEA_TP_SOLVE($A$7:$D$9,D44,F44,C44,,,,,,$A$12:$A$24,$C$12:$C$31,$B$3,$B$4,$B$5),1,42)</f>
      </c>
      <c r="AW44" s="5">
        <f>INDEX(CEA_TP_SOLVE($A$7:$D$9,D44,F44,C44,,,,,,$A$12:$A$24,$C$12:$C$31,$B$3,$B$4,$B$5),1,43)</f>
      </c>
      <c r="AX44" s="5">
        <f>INDEX(CEA_TP_SOLVE($A$7:$D$9,D44,F44,C44,,,,,,$A$12:$A$24,$C$12:$C$31,$B$3,$B$4,$B$5),1,44)</f>
      </c>
      <c r="AY44" s="5">
        <f>INDEX(CEA_TP_SOLVE($A$7:$D$9,D44,F44,C44,,,,,,$A$12:$A$24,$C$12:$C$31,$B$3,$B$4,$B$5),1,45)</f>
      </c>
      <c r="AZ44" s="5">
        <f>INDEX(CEA_TP_SOLVE($A$7:$D$9,D44,F44,C44,,,,,,$A$12:$A$24,$C$12:$C$31,$B$3,$B$4,$B$5),1,46)</f>
      </c>
      <c r="BA44" s="5">
        <f>INDEX(CEA_TP_SOLVE($A$7:$D$9,D44,F44,C44,,,,,,$A$12:$A$24,$C$12:$C$31,$B$3,$B$4,$B$5),1,47)</f>
      </c>
      <c r="BB44" s="5">
        <f>INDEX(CEA_TP_SOLVE($A$7:$D$9,D44,F44,C44,,,,,,$A$12:$A$24,$C$12:$C$31,$B$3,$B$4,$B$5),1,48)</f>
      </c>
      <c r="BC44" s="5">
        <f>INDEX(CEA_TP_SOLVE($A$7:$D$9,D44,F44,C44,,,,,,$A$12:$A$24,$C$12:$C$31,$B$3,$B$4,$B$5),1,49)</f>
      </c>
      <c r="BD44" s="5">
        <f>INDEX(CEA_TP_SOLVE($A$7:$D$9,D44,F44,C44,,,,,,$A$12:$A$24,$C$12:$C$31,$B$3,$B$4,$B$5),1,50)</f>
      </c>
      <c r="BE44" s="5">
        <f>INDEX(CEA_TP_SOLVE($A$7:$D$9,D44,F44,C44,,,,,,$A$12:$A$24,$C$12:$C$31,$B$3,$B$4,$B$5),1,51)</f>
      </c>
      <c r="BF44" s="5">
        <f>INDEX(CEA_TP_SOLVE($A$7:$D$9,D44,F44,C44,,,,,,$A$12:$A$24,$C$12:$C$31,$B$3,$B$4,$B$5),1,52)</f>
      </c>
      <c r="BG44" s="5">
        <f>INDEX(CEA_TP_SOLVE($A$7:$D$9,D44,F44,C44,,,,,,$A$12:$A$24,$C$12:$C$31,$B$3,$B$4,$B$5),1,53)</f>
      </c>
      <c r="BH44" s="5">
        <f>INDEX(CEA_TP_SOLVE($A$7:$D$9,D44,F44,C44,,,,,,$A$12:$A$24,$C$12:$C$31,$B$3,$B$4,$B$5),1,54)</f>
      </c>
      <c r="BI44" s="5">
        <f>INDEX(CEA_TP_SOLVE($A$7:$D$9,D44,F44,C44,,,,,,$A$12:$A$24,$C$12:$C$31,$B$3,$B$4,$B$5),1,55)</f>
      </c>
      <c r="BJ44" s="5">
        <f>INDEX(CEA_TP_SOLVE($A$7:$D$9,D44,F44,C44,,,,,,$A$12:$A$24,$C$12:$C$31,$B$3,$B$4,$B$5),1,56)</f>
      </c>
    </row>
    <row r="45" spans="1:62" x14ac:dyDescent="0.2">
      <c r="A45" s="9">
        <v>10</v>
      </c>
      <c r="B45" s="4">
        <v>1.5</v>
      </c>
      <c r="C45" s="5">
        <f>CEA_OF_FROM_EQUIVALENCE($A$7:$D$9,B45)</f>
      </c>
      <c r="D45" s="4">
        <v>2000.0</v>
      </c>
      <c r="E45" s="4">
        <v>0.1</v>
      </c>
      <c r="F45" s="5">
        <f>CEA_PRESSURE_SI(E45,"atm")</f>
      </c>
      <c r="G45" s="5">
        <f>INDEX(CEA_TP_SOLVE($A$7:$D$9,D45,F45,C45,,,,,,$A$12:$A$24,$C$12:$C$31,$B$3,$B$4,$B$5),1,1)</f>
      </c>
      <c r="H45" s="5">
        <f>INDEX(CEA_TP_SOLVE($A$7:$D$9,D45,F45,C45,,,,,,$A$12:$A$24,$C$12:$C$31,$B$3,$B$4,$B$5),1,2)</f>
      </c>
      <c r="I45" s="5">
        <f>INDEX(CEA_TP_SOLVE($A$7:$D$9,D45,F45,C45,,,,,,$A$12:$A$24,$C$12:$C$31,$B$3,$B$4,$B$5),1,3)</f>
      </c>
      <c r="J45" s="5">
        <f>INDEX(CEA_TP_SOLVE($A$7:$D$9,D45,F45,C45,,,,,,$A$12:$A$24,$C$12:$C$31,$B$3,$B$4,$B$5),1,4)</f>
      </c>
      <c r="K45" s="5">
        <f>INDEX(CEA_TP_SOLVE($A$7:$D$9,D45,F45,C45,,,,,,$A$12:$A$24,$C$12:$C$31,$B$3,$B$4,$B$5),1,5)</f>
      </c>
      <c r="L45" s="5">
        <f>INDEX(CEA_TP_SOLVE($A$7:$D$9,D45,F45,C45,,,,,,$A$12:$A$24,$C$12:$C$31,$B$3,$B$4,$B$5),1,6)</f>
      </c>
      <c r="M45" s="5">
        <f>INDEX(CEA_TP_SOLVE($A$7:$D$9,D45,F45,C45,,,,,,$A$12:$A$24,$C$12:$C$31,$B$3,$B$4,$B$5),1,7)</f>
      </c>
      <c r="N45" s="5">
        <f>INDEX(CEA_TP_SOLVE($A$7:$D$9,D45,F45,C45,,,,,,$A$12:$A$24,$C$12:$C$31,$B$3,$B$4,$B$5),1,8)</f>
      </c>
      <c r="O45" s="5">
        <f>INDEX(CEA_TP_SOLVE($A$7:$D$9,D45,F45,C45,,,,,,$A$12:$A$24,$C$12:$C$31,$B$3,$B$4,$B$5),1,9)</f>
      </c>
      <c r="P45" s="5">
        <f>INDEX(CEA_TP_SOLVE($A$7:$D$9,D45,F45,C45,,,,,,$A$12:$A$24,$C$12:$C$31,$B$3,$B$4,$B$5),1,10)</f>
      </c>
      <c r="Q45" s="5">
        <f>INDEX(CEA_TP_SOLVE($A$7:$D$9,D45,F45,C45,,,,,,$A$12:$A$24,$C$12:$C$31,$B$3,$B$4,$B$5),1,11)</f>
      </c>
      <c r="R45" s="5">
        <f>INDEX(CEA_TP_SOLVE($A$7:$D$9,D45,F45,C45,,,,,,$A$12:$A$24,$C$12:$C$31,$B$3,$B$4,$B$5),1,12)</f>
      </c>
      <c r="S45" s="5">
        <f>INDEX(CEA_TP_SOLVE($A$7:$D$9,D45,F45,C45,,,,,,$A$12:$A$24,$C$12:$C$31,$B$3,$B$4,$B$5),1,13)</f>
      </c>
      <c r="T45" s="5">
        <f>INDEX(CEA_TP_SOLVE($A$7:$D$9,D45,F45,C45,,,,,,$A$12:$A$24,$C$12:$C$31,$B$3,$B$4,$B$5),1,14)</f>
      </c>
      <c r="U45" s="5">
        <f>INDEX(CEA_TP_SOLVE($A$7:$D$9,D45,F45,C45,,,,,,$A$12:$A$24,$C$12:$C$31,$B$3,$B$4,$B$5),1,15)</f>
      </c>
      <c r="V45" s="5">
        <f>INDEX(CEA_TP_SOLVE($A$7:$D$9,D45,F45,C45,,,,,,$A$12:$A$24,$C$12:$C$31,$B$3,$B$4,$B$5),1,16)</f>
      </c>
      <c r="W45" s="5">
        <f>INDEX(CEA_TP_SOLVE($A$7:$D$9,D45,F45,C45,,,,,,$A$12:$A$24,$C$12:$C$31,$B$3,$B$4,$B$5),1,17)</f>
      </c>
      <c r="X45" s="5">
        <f>INDEX(CEA_TP_SOLVE($A$7:$D$9,D45,F45,C45,,,,,,$A$12:$A$24,$C$12:$C$31,$B$3,$B$4,$B$5),1,18)</f>
      </c>
      <c r="Y45" s="5">
        <f>INDEX(CEA_TP_SOLVE($A$7:$D$9,D45,F45,C45,,,,,,$A$12:$A$24,$C$12:$C$31,$B$3,$B$4,$B$5),1,19)</f>
      </c>
      <c r="Z45" s="5">
        <f>INDEX(CEA_TP_SOLVE($A$7:$D$9,D45,F45,C45,,,,,,$A$12:$A$24,$C$12:$C$31,$B$3,$B$4,$B$5),1,20)</f>
      </c>
      <c r="AA45" s="5">
        <f>INDEX(CEA_TP_SOLVE($A$7:$D$9,D45,F45,C45,,,,,,$A$12:$A$24,$C$12:$C$31,$B$3,$B$4,$B$5),1,21)</f>
      </c>
      <c r="AB45" s="5">
        <f>INDEX(CEA_TP_SOLVE($A$7:$D$9,D45,F45,C45,,,,,,$A$12:$A$24,$C$12:$C$31,$B$3,$B$4,$B$5),1,22)</f>
      </c>
      <c r="AC45" s="5">
        <f>INDEX(CEA_TP_SOLVE($A$7:$D$9,D45,F45,C45,,,,,,$A$12:$A$24,$C$12:$C$31,$B$3,$B$4,$B$5),1,23)</f>
      </c>
      <c r="AD45" s="5">
        <f>INDEX(CEA_TP_SOLVE($A$7:$D$9,D45,F45,C45,,,,,,$A$12:$A$24,$C$12:$C$31,$B$3,$B$4,$B$5),1,24)</f>
      </c>
      <c r="AE45" s="5">
        <f>INDEX(CEA_TP_SOLVE($A$7:$D$9,D45,F45,C45,,,,,,$A$12:$A$24,$C$12:$C$31,$B$3,$B$4,$B$5),1,25)</f>
      </c>
      <c r="AF45" s="5">
        <f>INDEX(CEA_TP_SOLVE($A$7:$D$9,D45,F45,C45,,,,,,$A$12:$A$24,$C$12:$C$31,$B$3,$B$4,$B$5),1,26)</f>
      </c>
      <c r="AG45" s="5">
        <f>INDEX(CEA_TP_SOLVE($A$7:$D$9,D45,F45,C45,,,,,,$A$12:$A$24,$C$12:$C$31,$B$3,$B$4,$B$5),1,27)</f>
      </c>
      <c r="AH45" s="5">
        <f>INDEX(CEA_TP_SOLVE($A$7:$D$9,D45,F45,C45,,,,,,$A$12:$A$24,$C$12:$C$31,$B$3,$B$4,$B$5),1,28)</f>
      </c>
      <c r="AI45" s="5">
        <f>INDEX(CEA_TP_SOLVE($A$7:$D$9,D45,F45,C45,,,,,,$A$12:$A$24,$C$12:$C$31,$B$3,$B$4,$B$5),1,29)</f>
      </c>
      <c r="AJ45" s="5">
        <f>INDEX(CEA_TP_SOLVE($A$7:$D$9,D45,F45,C45,,,,,,$A$12:$A$24,$C$12:$C$31,$B$3,$B$4,$B$5),1,30)</f>
      </c>
      <c r="AK45" s="5">
        <f>INDEX(CEA_TP_SOLVE($A$7:$D$9,D45,F45,C45,,,,,,$A$12:$A$24,$C$12:$C$31,$B$3,$B$4,$B$5),1,31)</f>
      </c>
      <c r="AL45" s="5">
        <f>INDEX(CEA_TP_SOLVE($A$7:$D$9,D45,F45,C45,,,,,,$A$12:$A$24,$C$12:$C$31,$B$3,$B$4,$B$5),1,32)</f>
      </c>
      <c r="AM45" s="5">
        <f>INDEX(CEA_TP_SOLVE($A$7:$D$9,D45,F45,C45,,,,,,$A$12:$A$24,$C$12:$C$31,$B$3,$B$4,$B$5),1,33)</f>
      </c>
      <c r="AN45" s="5">
        <f>INDEX(CEA_TP_SOLVE($A$7:$D$9,D45,F45,C45,,,,,,$A$12:$A$24,$C$12:$C$31,$B$3,$B$4,$B$5),1,34)</f>
      </c>
      <c r="AO45" s="5">
        <f>INDEX(CEA_TP_SOLVE($A$7:$D$9,D45,F45,C45,,,,,,$A$12:$A$24,$C$12:$C$31,$B$3,$B$4,$B$5),1,35)</f>
      </c>
      <c r="AP45" s="5">
        <f>INDEX(CEA_TP_SOLVE($A$7:$D$9,D45,F45,C45,,,,,,$A$12:$A$24,$C$12:$C$31,$B$3,$B$4,$B$5),1,36)</f>
      </c>
      <c r="AQ45" s="5">
        <f>INDEX(CEA_TP_SOLVE($A$7:$D$9,D45,F45,C45,,,,,,$A$12:$A$24,$C$12:$C$31,$B$3,$B$4,$B$5),1,37)</f>
      </c>
      <c r="AR45" s="5">
        <f>INDEX(CEA_TP_SOLVE($A$7:$D$9,D45,F45,C45,,,,,,$A$12:$A$24,$C$12:$C$31,$B$3,$B$4,$B$5),1,38)</f>
      </c>
      <c r="AS45" s="5">
        <f>INDEX(CEA_TP_SOLVE($A$7:$D$9,D45,F45,C45,,,,,,$A$12:$A$24,$C$12:$C$31,$B$3,$B$4,$B$5),1,39)</f>
      </c>
      <c r="AT45" s="5">
        <f>INDEX(CEA_TP_SOLVE($A$7:$D$9,D45,F45,C45,,,,,,$A$12:$A$24,$C$12:$C$31,$B$3,$B$4,$B$5),1,40)</f>
      </c>
      <c r="AU45" s="5">
        <f>INDEX(CEA_TP_SOLVE($A$7:$D$9,D45,F45,C45,,,,,,$A$12:$A$24,$C$12:$C$31,$B$3,$B$4,$B$5),1,41)</f>
      </c>
      <c r="AV45" s="5">
        <f>INDEX(CEA_TP_SOLVE($A$7:$D$9,D45,F45,C45,,,,,,$A$12:$A$24,$C$12:$C$31,$B$3,$B$4,$B$5),1,42)</f>
      </c>
      <c r="AW45" s="5">
        <f>INDEX(CEA_TP_SOLVE($A$7:$D$9,D45,F45,C45,,,,,,$A$12:$A$24,$C$12:$C$31,$B$3,$B$4,$B$5),1,43)</f>
      </c>
      <c r="AX45" s="5">
        <f>INDEX(CEA_TP_SOLVE($A$7:$D$9,D45,F45,C45,,,,,,$A$12:$A$24,$C$12:$C$31,$B$3,$B$4,$B$5),1,44)</f>
      </c>
      <c r="AY45" s="5">
        <f>INDEX(CEA_TP_SOLVE($A$7:$D$9,D45,F45,C45,,,,,,$A$12:$A$24,$C$12:$C$31,$B$3,$B$4,$B$5),1,45)</f>
      </c>
      <c r="AZ45" s="5">
        <f>INDEX(CEA_TP_SOLVE($A$7:$D$9,D45,F45,C45,,,,,,$A$12:$A$24,$C$12:$C$31,$B$3,$B$4,$B$5),1,46)</f>
      </c>
      <c r="BA45" s="5">
        <f>INDEX(CEA_TP_SOLVE($A$7:$D$9,D45,F45,C45,,,,,,$A$12:$A$24,$C$12:$C$31,$B$3,$B$4,$B$5),1,47)</f>
      </c>
      <c r="BB45" s="5">
        <f>INDEX(CEA_TP_SOLVE($A$7:$D$9,D45,F45,C45,,,,,,$A$12:$A$24,$C$12:$C$31,$B$3,$B$4,$B$5),1,48)</f>
      </c>
      <c r="BC45" s="5">
        <f>INDEX(CEA_TP_SOLVE($A$7:$D$9,D45,F45,C45,,,,,,$A$12:$A$24,$C$12:$C$31,$B$3,$B$4,$B$5),1,49)</f>
      </c>
      <c r="BD45" s="5">
        <f>INDEX(CEA_TP_SOLVE($A$7:$D$9,D45,F45,C45,,,,,,$A$12:$A$24,$C$12:$C$31,$B$3,$B$4,$B$5),1,50)</f>
      </c>
      <c r="BE45" s="5">
        <f>INDEX(CEA_TP_SOLVE($A$7:$D$9,D45,F45,C45,,,,,,$A$12:$A$24,$C$12:$C$31,$B$3,$B$4,$B$5),1,51)</f>
      </c>
      <c r="BF45" s="5">
        <f>INDEX(CEA_TP_SOLVE($A$7:$D$9,D45,F45,C45,,,,,,$A$12:$A$24,$C$12:$C$31,$B$3,$B$4,$B$5),1,52)</f>
      </c>
      <c r="BG45" s="5">
        <f>INDEX(CEA_TP_SOLVE($A$7:$D$9,D45,F45,C45,,,,,,$A$12:$A$24,$C$12:$C$31,$B$3,$B$4,$B$5),1,53)</f>
      </c>
      <c r="BH45" s="5">
        <f>INDEX(CEA_TP_SOLVE($A$7:$D$9,D45,F45,C45,,,,,,$A$12:$A$24,$C$12:$C$31,$B$3,$B$4,$B$5),1,54)</f>
      </c>
      <c r="BI45" s="5">
        <f>INDEX(CEA_TP_SOLVE($A$7:$D$9,D45,F45,C45,,,,,,$A$12:$A$24,$C$12:$C$31,$B$3,$B$4,$B$5),1,55)</f>
      </c>
      <c r="BJ45" s="5">
        <f>INDEX(CEA_TP_SOLVE($A$7:$D$9,D45,F45,C45,,,,,,$A$12:$A$24,$C$12:$C$31,$B$3,$B$4,$B$5),1,56)</f>
      </c>
    </row>
    <row r="46" spans="1:62" x14ac:dyDescent="0.2">
      <c r="A46" s="9">
        <v>11</v>
      </c>
      <c r="B46" s="4">
        <v>1.5</v>
      </c>
      <c r="C46" s="5">
        <f>CEA_OF_FROM_EQUIVALENCE($A$7:$D$9,B46)</f>
      </c>
      <c r="D46" s="4">
        <v>3000.0</v>
      </c>
      <c r="E46" s="4">
        <v>0.01</v>
      </c>
      <c r="F46" s="5">
        <f>CEA_PRESSURE_SI(E46,"atm")</f>
      </c>
      <c r="G46" s="5">
        <f>INDEX(CEA_TP_SOLVE($A$7:$D$9,D46,F46,C46,,,,,,$A$12:$A$24,$C$12:$C$31,$B$3,$B$4,$B$5),1,1)</f>
      </c>
      <c r="H46" s="5">
        <f>INDEX(CEA_TP_SOLVE($A$7:$D$9,D46,F46,C46,,,,,,$A$12:$A$24,$C$12:$C$31,$B$3,$B$4,$B$5),1,2)</f>
      </c>
      <c r="I46" s="5">
        <f>INDEX(CEA_TP_SOLVE($A$7:$D$9,D46,F46,C46,,,,,,$A$12:$A$24,$C$12:$C$31,$B$3,$B$4,$B$5),1,3)</f>
      </c>
      <c r="J46" s="5">
        <f>INDEX(CEA_TP_SOLVE($A$7:$D$9,D46,F46,C46,,,,,,$A$12:$A$24,$C$12:$C$31,$B$3,$B$4,$B$5),1,4)</f>
      </c>
      <c r="K46" s="5">
        <f>INDEX(CEA_TP_SOLVE($A$7:$D$9,D46,F46,C46,,,,,,$A$12:$A$24,$C$12:$C$31,$B$3,$B$4,$B$5),1,5)</f>
      </c>
      <c r="L46" s="5">
        <f>INDEX(CEA_TP_SOLVE($A$7:$D$9,D46,F46,C46,,,,,,$A$12:$A$24,$C$12:$C$31,$B$3,$B$4,$B$5),1,6)</f>
      </c>
      <c r="M46" s="5">
        <f>INDEX(CEA_TP_SOLVE($A$7:$D$9,D46,F46,C46,,,,,,$A$12:$A$24,$C$12:$C$31,$B$3,$B$4,$B$5),1,7)</f>
      </c>
      <c r="N46" s="5">
        <f>INDEX(CEA_TP_SOLVE($A$7:$D$9,D46,F46,C46,,,,,,$A$12:$A$24,$C$12:$C$31,$B$3,$B$4,$B$5),1,8)</f>
      </c>
      <c r="O46" s="5">
        <f>INDEX(CEA_TP_SOLVE($A$7:$D$9,D46,F46,C46,,,,,,$A$12:$A$24,$C$12:$C$31,$B$3,$B$4,$B$5),1,9)</f>
      </c>
      <c r="P46" s="5">
        <f>INDEX(CEA_TP_SOLVE($A$7:$D$9,D46,F46,C46,,,,,,$A$12:$A$24,$C$12:$C$31,$B$3,$B$4,$B$5),1,10)</f>
      </c>
      <c r="Q46" s="5">
        <f>INDEX(CEA_TP_SOLVE($A$7:$D$9,D46,F46,C46,,,,,,$A$12:$A$24,$C$12:$C$31,$B$3,$B$4,$B$5),1,11)</f>
      </c>
      <c r="R46" s="5">
        <f>INDEX(CEA_TP_SOLVE($A$7:$D$9,D46,F46,C46,,,,,,$A$12:$A$24,$C$12:$C$31,$B$3,$B$4,$B$5),1,12)</f>
      </c>
      <c r="S46" s="5">
        <f>INDEX(CEA_TP_SOLVE($A$7:$D$9,D46,F46,C46,,,,,,$A$12:$A$24,$C$12:$C$31,$B$3,$B$4,$B$5),1,13)</f>
      </c>
      <c r="T46" s="5">
        <f>INDEX(CEA_TP_SOLVE($A$7:$D$9,D46,F46,C46,,,,,,$A$12:$A$24,$C$12:$C$31,$B$3,$B$4,$B$5),1,14)</f>
      </c>
      <c r="U46" s="5">
        <f>INDEX(CEA_TP_SOLVE($A$7:$D$9,D46,F46,C46,,,,,,$A$12:$A$24,$C$12:$C$31,$B$3,$B$4,$B$5),1,15)</f>
      </c>
      <c r="V46" s="5">
        <f>INDEX(CEA_TP_SOLVE($A$7:$D$9,D46,F46,C46,,,,,,$A$12:$A$24,$C$12:$C$31,$B$3,$B$4,$B$5),1,16)</f>
      </c>
      <c r="W46" s="5">
        <f>INDEX(CEA_TP_SOLVE($A$7:$D$9,D46,F46,C46,,,,,,$A$12:$A$24,$C$12:$C$31,$B$3,$B$4,$B$5),1,17)</f>
      </c>
      <c r="X46" s="5">
        <f>INDEX(CEA_TP_SOLVE($A$7:$D$9,D46,F46,C46,,,,,,$A$12:$A$24,$C$12:$C$31,$B$3,$B$4,$B$5),1,18)</f>
      </c>
      <c r="Y46" s="5">
        <f>INDEX(CEA_TP_SOLVE($A$7:$D$9,D46,F46,C46,,,,,,$A$12:$A$24,$C$12:$C$31,$B$3,$B$4,$B$5),1,19)</f>
      </c>
      <c r="Z46" s="5">
        <f>INDEX(CEA_TP_SOLVE($A$7:$D$9,D46,F46,C46,,,,,,$A$12:$A$24,$C$12:$C$31,$B$3,$B$4,$B$5),1,20)</f>
      </c>
      <c r="AA46" s="5">
        <f>INDEX(CEA_TP_SOLVE($A$7:$D$9,D46,F46,C46,,,,,,$A$12:$A$24,$C$12:$C$31,$B$3,$B$4,$B$5),1,21)</f>
      </c>
      <c r="AB46" s="5">
        <f>INDEX(CEA_TP_SOLVE($A$7:$D$9,D46,F46,C46,,,,,,$A$12:$A$24,$C$12:$C$31,$B$3,$B$4,$B$5),1,22)</f>
      </c>
      <c r="AC46" s="5">
        <f>INDEX(CEA_TP_SOLVE($A$7:$D$9,D46,F46,C46,,,,,,$A$12:$A$24,$C$12:$C$31,$B$3,$B$4,$B$5),1,23)</f>
      </c>
      <c r="AD46" s="5">
        <f>INDEX(CEA_TP_SOLVE($A$7:$D$9,D46,F46,C46,,,,,,$A$12:$A$24,$C$12:$C$31,$B$3,$B$4,$B$5),1,24)</f>
      </c>
      <c r="AE46" s="5">
        <f>INDEX(CEA_TP_SOLVE($A$7:$D$9,D46,F46,C46,,,,,,$A$12:$A$24,$C$12:$C$31,$B$3,$B$4,$B$5),1,25)</f>
      </c>
      <c r="AF46" s="5">
        <f>INDEX(CEA_TP_SOLVE($A$7:$D$9,D46,F46,C46,,,,,,$A$12:$A$24,$C$12:$C$31,$B$3,$B$4,$B$5),1,26)</f>
      </c>
      <c r="AG46" s="5">
        <f>INDEX(CEA_TP_SOLVE($A$7:$D$9,D46,F46,C46,,,,,,$A$12:$A$24,$C$12:$C$31,$B$3,$B$4,$B$5),1,27)</f>
      </c>
      <c r="AH46" s="5">
        <f>INDEX(CEA_TP_SOLVE($A$7:$D$9,D46,F46,C46,,,,,,$A$12:$A$24,$C$12:$C$31,$B$3,$B$4,$B$5),1,28)</f>
      </c>
      <c r="AI46" s="5">
        <f>INDEX(CEA_TP_SOLVE($A$7:$D$9,D46,F46,C46,,,,,,$A$12:$A$24,$C$12:$C$31,$B$3,$B$4,$B$5),1,29)</f>
      </c>
      <c r="AJ46" s="5">
        <f>INDEX(CEA_TP_SOLVE($A$7:$D$9,D46,F46,C46,,,,,,$A$12:$A$24,$C$12:$C$31,$B$3,$B$4,$B$5),1,30)</f>
      </c>
      <c r="AK46" s="5">
        <f>INDEX(CEA_TP_SOLVE($A$7:$D$9,D46,F46,C46,,,,,,$A$12:$A$24,$C$12:$C$31,$B$3,$B$4,$B$5),1,31)</f>
      </c>
      <c r="AL46" s="5">
        <f>INDEX(CEA_TP_SOLVE($A$7:$D$9,D46,F46,C46,,,,,,$A$12:$A$24,$C$12:$C$31,$B$3,$B$4,$B$5),1,32)</f>
      </c>
      <c r="AM46" s="5">
        <f>INDEX(CEA_TP_SOLVE($A$7:$D$9,D46,F46,C46,,,,,,$A$12:$A$24,$C$12:$C$31,$B$3,$B$4,$B$5),1,33)</f>
      </c>
      <c r="AN46" s="5">
        <f>INDEX(CEA_TP_SOLVE($A$7:$D$9,D46,F46,C46,,,,,,$A$12:$A$24,$C$12:$C$31,$B$3,$B$4,$B$5),1,34)</f>
      </c>
      <c r="AO46" s="5">
        <f>INDEX(CEA_TP_SOLVE($A$7:$D$9,D46,F46,C46,,,,,,$A$12:$A$24,$C$12:$C$31,$B$3,$B$4,$B$5),1,35)</f>
      </c>
      <c r="AP46" s="5">
        <f>INDEX(CEA_TP_SOLVE($A$7:$D$9,D46,F46,C46,,,,,,$A$12:$A$24,$C$12:$C$31,$B$3,$B$4,$B$5),1,36)</f>
      </c>
      <c r="AQ46" s="5">
        <f>INDEX(CEA_TP_SOLVE($A$7:$D$9,D46,F46,C46,,,,,,$A$12:$A$24,$C$12:$C$31,$B$3,$B$4,$B$5),1,37)</f>
      </c>
      <c r="AR46" s="5">
        <f>INDEX(CEA_TP_SOLVE($A$7:$D$9,D46,F46,C46,,,,,,$A$12:$A$24,$C$12:$C$31,$B$3,$B$4,$B$5),1,38)</f>
      </c>
      <c r="AS46" s="5">
        <f>INDEX(CEA_TP_SOLVE($A$7:$D$9,D46,F46,C46,,,,,,$A$12:$A$24,$C$12:$C$31,$B$3,$B$4,$B$5),1,39)</f>
      </c>
      <c r="AT46" s="5">
        <f>INDEX(CEA_TP_SOLVE($A$7:$D$9,D46,F46,C46,,,,,,$A$12:$A$24,$C$12:$C$31,$B$3,$B$4,$B$5),1,40)</f>
      </c>
      <c r="AU46" s="5">
        <f>INDEX(CEA_TP_SOLVE($A$7:$D$9,D46,F46,C46,,,,,,$A$12:$A$24,$C$12:$C$31,$B$3,$B$4,$B$5),1,41)</f>
      </c>
      <c r="AV46" s="5">
        <f>INDEX(CEA_TP_SOLVE($A$7:$D$9,D46,F46,C46,,,,,,$A$12:$A$24,$C$12:$C$31,$B$3,$B$4,$B$5),1,42)</f>
      </c>
      <c r="AW46" s="5">
        <f>INDEX(CEA_TP_SOLVE($A$7:$D$9,D46,F46,C46,,,,,,$A$12:$A$24,$C$12:$C$31,$B$3,$B$4,$B$5),1,43)</f>
      </c>
      <c r="AX46" s="5">
        <f>INDEX(CEA_TP_SOLVE($A$7:$D$9,D46,F46,C46,,,,,,$A$12:$A$24,$C$12:$C$31,$B$3,$B$4,$B$5),1,44)</f>
      </c>
      <c r="AY46" s="5">
        <f>INDEX(CEA_TP_SOLVE($A$7:$D$9,D46,F46,C46,,,,,,$A$12:$A$24,$C$12:$C$31,$B$3,$B$4,$B$5),1,45)</f>
      </c>
      <c r="AZ46" s="5">
        <f>INDEX(CEA_TP_SOLVE($A$7:$D$9,D46,F46,C46,,,,,,$A$12:$A$24,$C$12:$C$31,$B$3,$B$4,$B$5),1,46)</f>
      </c>
      <c r="BA46" s="5">
        <f>INDEX(CEA_TP_SOLVE($A$7:$D$9,D46,F46,C46,,,,,,$A$12:$A$24,$C$12:$C$31,$B$3,$B$4,$B$5),1,47)</f>
      </c>
      <c r="BB46" s="5">
        <f>INDEX(CEA_TP_SOLVE($A$7:$D$9,D46,F46,C46,,,,,,$A$12:$A$24,$C$12:$C$31,$B$3,$B$4,$B$5),1,48)</f>
      </c>
      <c r="BC46" s="5">
        <f>INDEX(CEA_TP_SOLVE($A$7:$D$9,D46,F46,C46,,,,,,$A$12:$A$24,$C$12:$C$31,$B$3,$B$4,$B$5),1,49)</f>
      </c>
      <c r="BD46" s="5">
        <f>INDEX(CEA_TP_SOLVE($A$7:$D$9,D46,F46,C46,,,,,,$A$12:$A$24,$C$12:$C$31,$B$3,$B$4,$B$5),1,50)</f>
      </c>
      <c r="BE46" s="5">
        <f>INDEX(CEA_TP_SOLVE($A$7:$D$9,D46,F46,C46,,,,,,$A$12:$A$24,$C$12:$C$31,$B$3,$B$4,$B$5),1,51)</f>
      </c>
      <c r="BF46" s="5">
        <f>INDEX(CEA_TP_SOLVE($A$7:$D$9,D46,F46,C46,,,,,,$A$12:$A$24,$C$12:$C$31,$B$3,$B$4,$B$5),1,52)</f>
      </c>
      <c r="BG46" s="5">
        <f>INDEX(CEA_TP_SOLVE($A$7:$D$9,D46,F46,C46,,,,,,$A$12:$A$24,$C$12:$C$31,$B$3,$B$4,$B$5),1,53)</f>
      </c>
      <c r="BH46" s="5">
        <f>INDEX(CEA_TP_SOLVE($A$7:$D$9,D46,F46,C46,,,,,,$A$12:$A$24,$C$12:$C$31,$B$3,$B$4,$B$5),1,54)</f>
      </c>
      <c r="BI46" s="5">
        <f>INDEX(CEA_TP_SOLVE($A$7:$D$9,D46,F46,C46,,,,,,$A$12:$A$24,$C$12:$C$31,$B$3,$B$4,$B$5),1,55)</f>
      </c>
      <c r="BJ46" s="5">
        <f>INDEX(CEA_TP_SOLVE($A$7:$D$9,D46,F46,C46,,,,,,$A$12:$A$24,$C$12:$C$31,$B$3,$B$4,$B$5),1,56)</f>
      </c>
    </row>
    <row r="47" spans="1:62" x14ac:dyDescent="0.2">
      <c r="A47" s="9">
        <v>12</v>
      </c>
      <c r="B47" s="4">
        <v>1.5</v>
      </c>
      <c r="C47" s="5">
        <f>CEA_OF_FROM_EQUIVALENCE($A$7:$D$9,B47)</f>
      </c>
      <c r="D47" s="4">
        <v>2000.0</v>
      </c>
      <c r="E47" s="4">
        <v>0.01</v>
      </c>
      <c r="F47" s="5">
        <f>CEA_PRESSURE_SI(E47,"atm")</f>
      </c>
      <c r="G47" s="5">
        <f>INDEX(CEA_TP_SOLVE($A$7:$D$9,D47,F47,C47,,,,,,$A$12:$A$24,$C$12:$C$31,$B$3,$B$4,$B$5),1,1)</f>
      </c>
      <c r="H47" s="5">
        <f>INDEX(CEA_TP_SOLVE($A$7:$D$9,D47,F47,C47,,,,,,$A$12:$A$24,$C$12:$C$31,$B$3,$B$4,$B$5),1,2)</f>
      </c>
      <c r="I47" s="5">
        <f>INDEX(CEA_TP_SOLVE($A$7:$D$9,D47,F47,C47,,,,,,$A$12:$A$24,$C$12:$C$31,$B$3,$B$4,$B$5),1,3)</f>
      </c>
      <c r="J47" s="5">
        <f>INDEX(CEA_TP_SOLVE($A$7:$D$9,D47,F47,C47,,,,,,$A$12:$A$24,$C$12:$C$31,$B$3,$B$4,$B$5),1,4)</f>
      </c>
      <c r="K47" s="5">
        <f>INDEX(CEA_TP_SOLVE($A$7:$D$9,D47,F47,C47,,,,,,$A$12:$A$24,$C$12:$C$31,$B$3,$B$4,$B$5),1,5)</f>
      </c>
      <c r="L47" s="5">
        <f>INDEX(CEA_TP_SOLVE($A$7:$D$9,D47,F47,C47,,,,,,$A$12:$A$24,$C$12:$C$31,$B$3,$B$4,$B$5),1,6)</f>
      </c>
      <c r="M47" s="5">
        <f>INDEX(CEA_TP_SOLVE($A$7:$D$9,D47,F47,C47,,,,,,$A$12:$A$24,$C$12:$C$31,$B$3,$B$4,$B$5),1,7)</f>
      </c>
      <c r="N47" s="5">
        <f>INDEX(CEA_TP_SOLVE($A$7:$D$9,D47,F47,C47,,,,,,$A$12:$A$24,$C$12:$C$31,$B$3,$B$4,$B$5),1,8)</f>
      </c>
      <c r="O47" s="5">
        <f>INDEX(CEA_TP_SOLVE($A$7:$D$9,D47,F47,C47,,,,,,$A$12:$A$24,$C$12:$C$31,$B$3,$B$4,$B$5),1,9)</f>
      </c>
      <c r="P47" s="5">
        <f>INDEX(CEA_TP_SOLVE($A$7:$D$9,D47,F47,C47,,,,,,$A$12:$A$24,$C$12:$C$31,$B$3,$B$4,$B$5),1,10)</f>
      </c>
      <c r="Q47" s="5">
        <f>INDEX(CEA_TP_SOLVE($A$7:$D$9,D47,F47,C47,,,,,,$A$12:$A$24,$C$12:$C$31,$B$3,$B$4,$B$5),1,11)</f>
      </c>
      <c r="R47" s="5">
        <f>INDEX(CEA_TP_SOLVE($A$7:$D$9,D47,F47,C47,,,,,,$A$12:$A$24,$C$12:$C$31,$B$3,$B$4,$B$5),1,12)</f>
      </c>
      <c r="S47" s="5">
        <f>INDEX(CEA_TP_SOLVE($A$7:$D$9,D47,F47,C47,,,,,,$A$12:$A$24,$C$12:$C$31,$B$3,$B$4,$B$5),1,13)</f>
      </c>
      <c r="T47" s="5">
        <f>INDEX(CEA_TP_SOLVE($A$7:$D$9,D47,F47,C47,,,,,,$A$12:$A$24,$C$12:$C$31,$B$3,$B$4,$B$5),1,14)</f>
      </c>
      <c r="U47" s="5">
        <f>INDEX(CEA_TP_SOLVE($A$7:$D$9,D47,F47,C47,,,,,,$A$12:$A$24,$C$12:$C$31,$B$3,$B$4,$B$5),1,15)</f>
      </c>
      <c r="V47" s="5">
        <f>INDEX(CEA_TP_SOLVE($A$7:$D$9,D47,F47,C47,,,,,,$A$12:$A$24,$C$12:$C$31,$B$3,$B$4,$B$5),1,16)</f>
      </c>
      <c r="W47" s="5">
        <f>INDEX(CEA_TP_SOLVE($A$7:$D$9,D47,F47,C47,,,,,,$A$12:$A$24,$C$12:$C$31,$B$3,$B$4,$B$5),1,17)</f>
      </c>
      <c r="X47" s="5">
        <f>INDEX(CEA_TP_SOLVE($A$7:$D$9,D47,F47,C47,,,,,,$A$12:$A$24,$C$12:$C$31,$B$3,$B$4,$B$5),1,18)</f>
      </c>
      <c r="Y47" s="5">
        <f>INDEX(CEA_TP_SOLVE($A$7:$D$9,D47,F47,C47,,,,,,$A$12:$A$24,$C$12:$C$31,$B$3,$B$4,$B$5),1,19)</f>
      </c>
      <c r="Z47" s="5">
        <f>INDEX(CEA_TP_SOLVE($A$7:$D$9,D47,F47,C47,,,,,,$A$12:$A$24,$C$12:$C$31,$B$3,$B$4,$B$5),1,20)</f>
      </c>
      <c r="AA47" s="5">
        <f>INDEX(CEA_TP_SOLVE($A$7:$D$9,D47,F47,C47,,,,,,$A$12:$A$24,$C$12:$C$31,$B$3,$B$4,$B$5),1,21)</f>
      </c>
      <c r="AB47" s="5">
        <f>INDEX(CEA_TP_SOLVE($A$7:$D$9,D47,F47,C47,,,,,,$A$12:$A$24,$C$12:$C$31,$B$3,$B$4,$B$5),1,22)</f>
      </c>
      <c r="AC47" s="5">
        <f>INDEX(CEA_TP_SOLVE($A$7:$D$9,D47,F47,C47,,,,,,$A$12:$A$24,$C$12:$C$31,$B$3,$B$4,$B$5),1,23)</f>
      </c>
      <c r="AD47" s="5">
        <f>INDEX(CEA_TP_SOLVE($A$7:$D$9,D47,F47,C47,,,,,,$A$12:$A$24,$C$12:$C$31,$B$3,$B$4,$B$5),1,24)</f>
      </c>
      <c r="AE47" s="5">
        <f>INDEX(CEA_TP_SOLVE($A$7:$D$9,D47,F47,C47,,,,,,$A$12:$A$24,$C$12:$C$31,$B$3,$B$4,$B$5),1,25)</f>
      </c>
      <c r="AF47" s="5">
        <f>INDEX(CEA_TP_SOLVE($A$7:$D$9,D47,F47,C47,,,,,,$A$12:$A$24,$C$12:$C$31,$B$3,$B$4,$B$5),1,26)</f>
      </c>
      <c r="AG47" s="5">
        <f>INDEX(CEA_TP_SOLVE($A$7:$D$9,D47,F47,C47,,,,,,$A$12:$A$24,$C$12:$C$31,$B$3,$B$4,$B$5),1,27)</f>
      </c>
      <c r="AH47" s="5">
        <f>INDEX(CEA_TP_SOLVE($A$7:$D$9,D47,F47,C47,,,,,,$A$12:$A$24,$C$12:$C$31,$B$3,$B$4,$B$5),1,28)</f>
      </c>
      <c r="AI47" s="5">
        <f>INDEX(CEA_TP_SOLVE($A$7:$D$9,D47,F47,C47,,,,,,$A$12:$A$24,$C$12:$C$31,$B$3,$B$4,$B$5),1,29)</f>
      </c>
      <c r="AJ47" s="5">
        <f>INDEX(CEA_TP_SOLVE($A$7:$D$9,D47,F47,C47,,,,,,$A$12:$A$24,$C$12:$C$31,$B$3,$B$4,$B$5),1,30)</f>
      </c>
      <c r="AK47" s="5">
        <f>INDEX(CEA_TP_SOLVE($A$7:$D$9,D47,F47,C47,,,,,,$A$12:$A$24,$C$12:$C$31,$B$3,$B$4,$B$5),1,31)</f>
      </c>
      <c r="AL47" s="5">
        <f>INDEX(CEA_TP_SOLVE($A$7:$D$9,D47,F47,C47,,,,,,$A$12:$A$24,$C$12:$C$31,$B$3,$B$4,$B$5),1,32)</f>
      </c>
      <c r="AM47" s="5">
        <f>INDEX(CEA_TP_SOLVE($A$7:$D$9,D47,F47,C47,,,,,,$A$12:$A$24,$C$12:$C$31,$B$3,$B$4,$B$5),1,33)</f>
      </c>
      <c r="AN47" s="5">
        <f>INDEX(CEA_TP_SOLVE($A$7:$D$9,D47,F47,C47,,,,,,$A$12:$A$24,$C$12:$C$31,$B$3,$B$4,$B$5),1,34)</f>
      </c>
      <c r="AO47" s="5">
        <f>INDEX(CEA_TP_SOLVE($A$7:$D$9,D47,F47,C47,,,,,,$A$12:$A$24,$C$12:$C$31,$B$3,$B$4,$B$5),1,35)</f>
      </c>
      <c r="AP47" s="5">
        <f>INDEX(CEA_TP_SOLVE($A$7:$D$9,D47,F47,C47,,,,,,$A$12:$A$24,$C$12:$C$31,$B$3,$B$4,$B$5),1,36)</f>
      </c>
      <c r="AQ47" s="5">
        <f>INDEX(CEA_TP_SOLVE($A$7:$D$9,D47,F47,C47,,,,,,$A$12:$A$24,$C$12:$C$31,$B$3,$B$4,$B$5),1,37)</f>
      </c>
      <c r="AR47" s="5">
        <f>INDEX(CEA_TP_SOLVE($A$7:$D$9,D47,F47,C47,,,,,,$A$12:$A$24,$C$12:$C$31,$B$3,$B$4,$B$5),1,38)</f>
      </c>
      <c r="AS47" s="5">
        <f>INDEX(CEA_TP_SOLVE($A$7:$D$9,D47,F47,C47,,,,,,$A$12:$A$24,$C$12:$C$31,$B$3,$B$4,$B$5),1,39)</f>
      </c>
      <c r="AT47" s="5">
        <f>INDEX(CEA_TP_SOLVE($A$7:$D$9,D47,F47,C47,,,,,,$A$12:$A$24,$C$12:$C$31,$B$3,$B$4,$B$5),1,40)</f>
      </c>
      <c r="AU47" s="5">
        <f>INDEX(CEA_TP_SOLVE($A$7:$D$9,D47,F47,C47,,,,,,$A$12:$A$24,$C$12:$C$31,$B$3,$B$4,$B$5),1,41)</f>
      </c>
      <c r="AV47" s="5">
        <f>INDEX(CEA_TP_SOLVE($A$7:$D$9,D47,F47,C47,,,,,,$A$12:$A$24,$C$12:$C$31,$B$3,$B$4,$B$5),1,42)</f>
      </c>
      <c r="AW47" s="5">
        <f>INDEX(CEA_TP_SOLVE($A$7:$D$9,D47,F47,C47,,,,,,$A$12:$A$24,$C$12:$C$31,$B$3,$B$4,$B$5),1,43)</f>
      </c>
      <c r="AX47" s="5">
        <f>INDEX(CEA_TP_SOLVE($A$7:$D$9,D47,F47,C47,,,,,,$A$12:$A$24,$C$12:$C$31,$B$3,$B$4,$B$5),1,44)</f>
      </c>
      <c r="AY47" s="5">
        <f>INDEX(CEA_TP_SOLVE($A$7:$D$9,D47,F47,C47,,,,,,$A$12:$A$24,$C$12:$C$31,$B$3,$B$4,$B$5),1,45)</f>
      </c>
      <c r="AZ47" s="5">
        <f>INDEX(CEA_TP_SOLVE($A$7:$D$9,D47,F47,C47,,,,,,$A$12:$A$24,$C$12:$C$31,$B$3,$B$4,$B$5),1,46)</f>
      </c>
      <c r="BA47" s="5">
        <f>INDEX(CEA_TP_SOLVE($A$7:$D$9,D47,F47,C47,,,,,,$A$12:$A$24,$C$12:$C$31,$B$3,$B$4,$B$5),1,47)</f>
      </c>
      <c r="BB47" s="5">
        <f>INDEX(CEA_TP_SOLVE($A$7:$D$9,D47,F47,C47,,,,,,$A$12:$A$24,$C$12:$C$31,$B$3,$B$4,$B$5),1,48)</f>
      </c>
      <c r="BC47" s="5">
        <f>INDEX(CEA_TP_SOLVE($A$7:$D$9,D47,F47,C47,,,,,,$A$12:$A$24,$C$12:$C$31,$B$3,$B$4,$B$5),1,49)</f>
      </c>
      <c r="BD47" s="5">
        <f>INDEX(CEA_TP_SOLVE($A$7:$D$9,D47,F47,C47,,,,,,$A$12:$A$24,$C$12:$C$31,$B$3,$B$4,$B$5),1,50)</f>
      </c>
      <c r="BE47" s="5">
        <f>INDEX(CEA_TP_SOLVE($A$7:$D$9,D47,F47,C47,,,,,,$A$12:$A$24,$C$12:$C$31,$B$3,$B$4,$B$5),1,51)</f>
      </c>
      <c r="BF47" s="5">
        <f>INDEX(CEA_TP_SOLVE($A$7:$D$9,D47,F47,C47,,,,,,$A$12:$A$24,$C$12:$C$31,$B$3,$B$4,$B$5),1,52)</f>
      </c>
      <c r="BG47" s="5">
        <f>INDEX(CEA_TP_SOLVE($A$7:$D$9,D47,F47,C47,,,,,,$A$12:$A$24,$C$12:$C$31,$B$3,$B$4,$B$5),1,53)</f>
      </c>
      <c r="BH47" s="5">
        <f>INDEX(CEA_TP_SOLVE($A$7:$D$9,D47,F47,C47,,,,,,$A$12:$A$24,$C$12:$C$31,$B$3,$B$4,$B$5),1,54)</f>
      </c>
      <c r="BI47" s="5">
        <f>INDEX(CEA_TP_SOLVE($A$7:$D$9,D47,F47,C47,,,,,,$A$12:$A$24,$C$12:$C$31,$B$3,$B$4,$B$5),1,55)</f>
      </c>
      <c r="BJ47" s="5">
        <f>INDEX(CEA_TP_SOLVE($A$7:$D$9,D47,F47,C47,,,,,,$A$12:$A$24,$C$12:$C$31,$B$3,$B$4,$B$5),1,56)</f>
      </c>
    </row>
  </sheetData>
  <mergeCells count="3">
    <mergeCell ref="E12:H12"/>
    <mergeCell ref="E13:H13"/>
    <mergeCell ref="E14:H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ME47"/>
  <sheetViews>
    <sheetView workbookViewId="0">
      <selection/>
    </sheetView>
  </sheetViews>
  <sheetFormatPr baseColWidth="10" defaultRowHeight="16" x14ac:dyDescent="0.2"/>
  <cols>
    <col min="1" max="1" width="20" customWidth="1"/>
    <col min="2" max="2" width="14" customWidth="1"/>
    <col min="3" max="3" width="18" customWidth="1"/>
    <col min="4" max="4" width="14" customWidth="1"/>
    <col min="5" max="5" width="14" customWidth="1"/>
    <col min="6" max="6" width="18" customWidth="1"/>
    <col min="7" max="7" width="16" customWidth="1"/>
    <col min="8" max="8" width="12" customWidth="1"/>
    <col min="9" max="9" width="12" customWidth="1"/>
    <col min="10" max="10" width="22" customWidth="1"/>
    <col min="11" max="11" width="15" customWidth="1"/>
    <col min="12" max="12" width="15" customWidth="1"/>
    <col min="13" max="13" width="15" customWidth="1"/>
    <col min="14" max="14" width="15" customWidth="1"/>
    <col min="15" max="15" width="15" customWidth="1"/>
    <col min="16" max="16" width="15" customWidth="1"/>
    <col min="17" max="17" width="15" customWidth="1"/>
    <col min="18" max="18" width="15" customWidth="1"/>
    <col min="19" max="19" width="15" customWidth="1"/>
    <col min="20" max="20" width="15" customWidth="1"/>
    <col min="21" max="21" width="15" customWidth="1"/>
    <col min="22" max="22" width="15" customWidth="1"/>
    <col min="23" max="23" width="15" customWidth="1"/>
    <col min="24" max="24" width="15" customWidth="1"/>
    <col min="25" max="25" width="15" customWidth="1"/>
    <col min="26" max="26" width="15" customWidth="1"/>
    <col min="27" max="27" width="15" customWidth="1"/>
    <col min="28" max="28" width="15" customWidth="1"/>
    <col min="29" max="29" width="15" customWidth="1"/>
    <col min="30" max="30" width="15" customWidth="1"/>
    <col min="31" max="31" width="15" customWidth="1"/>
    <col min="32" max="32" width="15" customWidth="1"/>
    <col min="33" max="33" width="15" customWidth="1"/>
    <col min="34" max="34" width="15" customWidth="1"/>
    <col min="35" max="35" width="15" customWidth="1"/>
    <col min="36" max="36" width="15" customWidth="1"/>
    <col min="37" max="37" width="15" customWidth="1"/>
    <col min="38" max="38" width="15" customWidth="1"/>
    <col min="39" max="39" width="15" customWidth="1"/>
    <col min="40" max="40" width="15" customWidth="1"/>
    <col min="41" max="41" width="15" customWidth="1"/>
    <col min="42" max="42" width="15" customWidth="1"/>
    <col min="43" max="43" width="15" customWidth="1"/>
    <col min="44" max="44" width="15" customWidth="1"/>
    <col min="45" max="45" width="15" customWidth="1"/>
    <col min="46" max="46" width="15" customWidth="1"/>
    <col min="47" max="47" width="15" customWidth="1"/>
    <col min="48" max="48" width="15" customWidth="1"/>
    <col min="49" max="49" width="15" customWidth="1"/>
    <col min="50" max="50" width="15" customWidth="1"/>
    <col min="51" max="51" width="15" customWidth="1"/>
    <col min="52" max="52" width="15" customWidth="1"/>
    <col min="53" max="53" width="15" customWidth="1"/>
    <col min="54" max="54" width="15" customWidth="1"/>
    <col min="55" max="55" width="15" customWidth="1"/>
    <col min="56" max="56" width="15" customWidth="1"/>
    <col min="57" max="57" width="15" customWidth="1"/>
    <col min="58" max="58" width="15" customWidth="1"/>
    <col min="59" max="59" width="15" customWidth="1"/>
    <col min="60" max="60" width="15" customWidth="1"/>
    <col min="61" max="61" width="15" customWidth="1"/>
    <col min="62" max="62" width="15" customWidth="1"/>
    <col min="63" max="63" width="15" customWidth="1"/>
    <col min="64" max="64" width="15" customWidth="1"/>
    <col min="65" max="65" width="15" customWidth="1"/>
    <col min="66" max="66" width="15" customWidth="1"/>
    <col min="67" max="67" width="15" customWidth="1"/>
    <col min="68" max="68" width="15" customWidth="1"/>
    <col min="69" max="69" width="15" customWidth="1"/>
    <col min="70" max="70" width="15" customWidth="1"/>
    <col min="71" max="71" width="15" customWidth="1"/>
    <col min="72" max="72" width="15" customWidth="1"/>
    <col min="73" max="73" width="15" customWidth="1"/>
    <col min="74" max="74" width="15" customWidth="1"/>
    <col min="75" max="75" width="15" customWidth="1"/>
    <col min="76" max="76" width="15" customWidth="1"/>
    <col min="77" max="77" width="15" customWidth="1"/>
    <col min="78" max="78" width="15" customWidth="1"/>
    <col min="79" max="79" width="15" customWidth="1"/>
    <col min="80" max="80" width="15" customWidth="1"/>
    <col min="81" max="81" width="15" customWidth="1"/>
    <col min="82" max="82" width="15" customWidth="1"/>
    <col min="83" max="83" width="15" customWidth="1"/>
    <col min="84" max="84" width="15" customWidth="1"/>
    <col min="85" max="85" width="15" customWidth="1"/>
    <col min="86" max="86" width="15" customWidth="1"/>
    <col min="87" max="87" width="15" customWidth="1"/>
    <col min="88" max="88" width="15" customWidth="1"/>
    <col min="89" max="89" width="15" customWidth="1"/>
    <col min="90" max="90" width="15" customWidth="1"/>
    <col min="91" max="91" width="15" customWidth="1"/>
    <col min="92" max="92" width="15" customWidth="1"/>
    <col min="93" max="93" width="15" customWidth="1"/>
    <col min="94" max="94" width="15" customWidth="1"/>
    <col min="95" max="95" width="15" customWidth="1"/>
    <col min="96" max="96" width="15" customWidth="1"/>
    <col min="97" max="97" width="15" customWidth="1"/>
    <col min="98" max="98" width="15" customWidth="1"/>
    <col min="99" max="99" width="15" customWidth="1"/>
    <col min="100" max="100" width="15" customWidth="1"/>
    <col min="101" max="101" width="15" customWidth="1"/>
    <col min="102" max="102" width="15" customWidth="1"/>
    <col min="103" max="103" width="15" customWidth="1"/>
    <col min="104" max="104" width="15" customWidth="1"/>
    <col min="105" max="105" width="15" customWidth="1"/>
    <col min="106" max="106" width="15" customWidth="1"/>
    <col min="107" max="107" width="15" customWidth="1"/>
    <col min="108" max="108" width="15" customWidth="1"/>
    <col min="109" max="109" width="15" customWidth="1"/>
    <col min="110" max="110" width="15" customWidth="1"/>
    <col min="111" max="111" width="15" customWidth="1"/>
    <col min="112" max="112" width="15" customWidth="1"/>
    <col min="113" max="113" width="15" customWidth="1"/>
    <col min="114" max="114" width="15" customWidth="1"/>
    <col min="115" max="115" width="15" customWidth="1"/>
    <col min="116" max="116" width="15" customWidth="1"/>
    <col min="117" max="117" width="15" customWidth="1"/>
    <col min="118" max="118" width="15" customWidth="1"/>
    <col min="119" max="119" width="15" customWidth="1"/>
    <col min="120" max="120" width="15" customWidth="1"/>
    <col min="121" max="121" width="15" customWidth="1"/>
    <col min="122" max="122" width="15" customWidth="1"/>
    <col min="123" max="123" width="15" customWidth="1"/>
    <col min="124" max="124" width="15" customWidth="1"/>
    <col min="125" max="125" width="15" customWidth="1"/>
    <col min="126" max="126" width="15" customWidth="1"/>
    <col min="127" max="127" width="15" customWidth="1"/>
    <col min="128" max="128" width="15" customWidth="1"/>
    <col min="129" max="129" width="15" customWidth="1"/>
    <col min="130" max="130" width="15" customWidth="1"/>
    <col min="131" max="131" width="15" customWidth="1"/>
    <col min="132" max="132" width="15" customWidth="1"/>
    <col min="133" max="133" width="15" customWidth="1"/>
    <col min="134" max="134" width="15" customWidth="1"/>
    <col min="135" max="135" width="15" customWidth="1"/>
    <col min="136" max="136" width="15" customWidth="1"/>
    <col min="137" max="137" width="15" customWidth="1"/>
    <col min="138" max="138" width="15" customWidth="1"/>
    <col min="139" max="139" width="15" customWidth="1"/>
    <col min="140" max="140" width="15" customWidth="1"/>
    <col min="141" max="141" width="15" customWidth="1"/>
    <col min="142" max="142" width="15" customWidth="1"/>
    <col min="143" max="143" width="15" customWidth="1"/>
    <col min="144" max="144" width="15" customWidth="1"/>
    <col min="145" max="145" width="15" customWidth="1"/>
    <col min="146" max="146" width="15" customWidth="1"/>
    <col min="147" max="147" width="15" customWidth="1"/>
    <col min="148" max="148" width="15" customWidth="1"/>
    <col min="149" max="149" width="15" customWidth="1"/>
    <col min="150" max="150" width="15" customWidth="1"/>
    <col min="151" max="151" width="15" customWidth="1"/>
    <col min="152" max="152" width="15" customWidth="1"/>
    <col min="153" max="153" width="15" customWidth="1"/>
    <col min="154" max="154" width="15" customWidth="1"/>
    <col min="155" max="155" width="15" customWidth="1"/>
    <col min="156" max="156" width="15" customWidth="1"/>
    <col min="157" max="157" width="15" customWidth="1"/>
    <col min="158" max="158" width="15" customWidth="1"/>
    <col min="159" max="159" width="15" customWidth="1"/>
    <col min="160" max="160" width="15" customWidth="1"/>
    <col min="161" max="161" width="15" customWidth="1"/>
    <col min="162" max="162" width="15" customWidth="1"/>
    <col min="163" max="163" width="15" customWidth="1"/>
    <col min="164" max="164" width="15" customWidth="1"/>
    <col min="165" max="165" width="15" customWidth="1"/>
    <col min="166" max="166" width="15" customWidth="1"/>
    <col min="167" max="167" width="15" customWidth="1"/>
    <col min="168" max="168" width="15" customWidth="1"/>
    <col min="169" max="169" width="15" customWidth="1"/>
    <col min="170" max="170" width="15" customWidth="1"/>
    <col min="171" max="171" width="15" customWidth="1"/>
    <col min="172" max="172" width="15" customWidth="1"/>
    <col min="173" max="173" width="15" customWidth="1"/>
    <col min="174" max="174" width="15" customWidth="1"/>
    <col min="175" max="175" width="15" customWidth="1"/>
    <col min="176" max="176" width="15" customWidth="1"/>
    <col min="177" max="177" width="15" customWidth="1"/>
    <col min="178" max="178" width="15" customWidth="1"/>
    <col min="179" max="179" width="15" customWidth="1"/>
    <col min="180" max="180" width="15" customWidth="1"/>
    <col min="181" max="181" width="15" customWidth="1"/>
    <col min="182" max="182" width="15" customWidth="1"/>
    <col min="183" max="183" width="15" customWidth="1"/>
    <col min="184" max="184" width="15" customWidth="1"/>
    <col min="185" max="185" width="15" customWidth="1"/>
    <col min="186" max="186" width="15" customWidth="1"/>
    <col min="187" max="187" width="15" customWidth="1"/>
    <col min="188" max="188" width="15" customWidth="1"/>
    <col min="189" max="189" width="15" customWidth="1"/>
    <col min="190" max="190" width="15" customWidth="1"/>
    <col min="191" max="191" width="15" customWidth="1"/>
    <col min="192" max="192" width="15" customWidth="1"/>
    <col min="193" max="193" width="15" customWidth="1"/>
    <col min="194" max="194" width="15" customWidth="1"/>
    <col min="195" max="195" width="15" customWidth="1"/>
    <col min="196" max="196" width="15" customWidth="1"/>
    <col min="197" max="197" width="15" customWidth="1"/>
    <col min="198" max="198" width="15" customWidth="1"/>
    <col min="199" max="199" width="15" customWidth="1"/>
    <col min="200" max="200" width="15" customWidth="1"/>
    <col min="201" max="201" width="15" customWidth="1"/>
    <col min="202" max="202" width="15" customWidth="1"/>
    <col min="203" max="203" width="15" customWidth="1"/>
    <col min="204" max="204" width="15" customWidth="1"/>
    <col min="205" max="205" width="15" customWidth="1"/>
    <col min="206" max="206" width="15" customWidth="1"/>
    <col min="207" max="207" width="15" customWidth="1"/>
    <col min="208" max="208" width="15" customWidth="1"/>
    <col min="209" max="209" width="15" customWidth="1"/>
    <col min="210" max="210" width="15" customWidth="1"/>
    <col min="211" max="211" width="15" customWidth="1"/>
    <col min="212" max="212" width="15" customWidth="1"/>
    <col min="213" max="213" width="15" customWidth="1"/>
    <col min="214" max="214" width="15" customWidth="1"/>
    <col min="215" max="215" width="15" customWidth="1"/>
    <col min="216" max="216" width="15" customWidth="1"/>
    <col min="217" max="217" width="15" customWidth="1"/>
    <col min="218" max="218" width="15" customWidth="1"/>
    <col min="219" max="219" width="15" customWidth="1"/>
    <col min="220" max="220" width="15" customWidth="1"/>
    <col min="221" max="221" width="15" customWidth="1"/>
    <col min="222" max="222" width="15" customWidth="1"/>
    <col min="223" max="223" width="15" customWidth="1"/>
    <col min="224" max="224" width="15" customWidth="1"/>
    <col min="225" max="225" width="15" customWidth="1"/>
    <col min="226" max="226" width="15" customWidth="1"/>
    <col min="227" max="227" width="15" customWidth="1"/>
    <col min="228" max="228" width="15" customWidth="1"/>
    <col min="229" max="229" width="15" customWidth="1"/>
    <col min="230" max="230" width="15" customWidth="1"/>
    <col min="231" max="231" width="15" customWidth="1"/>
    <col min="232" max="232" width="15" customWidth="1"/>
    <col min="233" max="233" width="15" customWidth="1"/>
    <col min="234" max="234" width="15" customWidth="1"/>
    <col min="235" max="235" width="15" customWidth="1"/>
    <col min="236" max="236" width="15" customWidth="1"/>
    <col min="237" max="237" width="15" customWidth="1"/>
    <col min="238" max="238" width="15" customWidth="1"/>
    <col min="239" max="239" width="15" customWidth="1"/>
    <col min="240" max="240" width="15" customWidth="1"/>
    <col min="241" max="241" width="15" customWidth="1"/>
    <col min="242" max="242" width="15" customWidth="1"/>
    <col min="243" max="243" width="15" customWidth="1"/>
    <col min="244" max="244" width="15" customWidth="1"/>
    <col min="245" max="245" width="15" customWidth="1"/>
    <col min="246" max="246" width="15" customWidth="1"/>
    <col min="247" max="247" width="15" customWidth="1"/>
    <col min="248" max="248" width="15" customWidth="1"/>
    <col min="249" max="249" width="15" customWidth="1"/>
    <col min="250" max="250" width="15" customWidth="1"/>
    <col min="251" max="251" width="15" customWidth="1"/>
    <col min="252" max="252" width="15" customWidth="1"/>
    <col min="253" max="253" width="15" customWidth="1"/>
    <col min="254" max="254" width="15" customWidth="1"/>
    <col min="255" max="255" width="15" customWidth="1"/>
    <col min="256" max="256" width="15" customWidth="1"/>
    <col min="257" max="257" width="15" customWidth="1"/>
    <col min="258" max="258" width="15" customWidth="1"/>
    <col min="259" max="259" width="15" customWidth="1"/>
    <col min="260" max="260" width="15" customWidth="1"/>
    <col min="261" max="261" width="15" customWidth="1"/>
    <col min="262" max="262" width="15" customWidth="1"/>
    <col min="263" max="263" width="15" customWidth="1"/>
    <col min="264" max="264" width="15" customWidth="1"/>
    <col min="265" max="265" width="15" customWidth="1"/>
    <col min="266" max="266" width="15" customWidth="1"/>
    <col min="267" max="267" width="15" customWidth="1"/>
    <col min="268" max="268" width="15" customWidth="1"/>
    <col min="269" max="269" width="15" customWidth="1"/>
    <col min="270" max="270" width="15" customWidth="1"/>
    <col min="271" max="271" width="15" customWidth="1"/>
    <col min="272" max="272" width="15" customWidth="1"/>
    <col min="273" max="273" width="15" customWidth="1"/>
    <col min="274" max="274" width="15" customWidth="1"/>
    <col min="275" max="275" width="15" customWidth="1"/>
    <col min="276" max="276" width="15" customWidth="1"/>
    <col min="277" max="277" width="15" customWidth="1"/>
    <col min="278" max="278" width="15" customWidth="1"/>
    <col min="279" max="279" width="15" customWidth="1"/>
    <col min="280" max="280" width="15" customWidth="1"/>
    <col min="281" max="281" width="15" customWidth="1"/>
    <col min="282" max="282" width="15" customWidth="1"/>
    <col min="283" max="283" width="15" customWidth="1"/>
    <col min="284" max="284" width="15" customWidth="1"/>
    <col min="285" max="285" width="15" customWidth="1"/>
    <col min="286" max="286" width="15" customWidth="1"/>
    <col min="287" max="287" width="15" customWidth="1"/>
    <col min="288" max="288" width="15" customWidth="1"/>
    <col min="289" max="289" width="15" customWidth="1"/>
    <col min="290" max="290" width="15" customWidth="1"/>
    <col min="291" max="291" width="15" customWidth="1"/>
    <col min="292" max="292" width="15" customWidth="1"/>
    <col min="293" max="293" width="15" customWidth="1"/>
    <col min="294" max="294" width="15" customWidth="1"/>
    <col min="295" max="295" width="15" customWidth="1"/>
    <col min="296" max="296" width="15" customWidth="1"/>
    <col min="297" max="297" width="15" customWidth="1"/>
    <col min="298" max="298" width="15" customWidth="1"/>
    <col min="299" max="299" width="15" customWidth="1"/>
    <col min="300" max="300" width="15" customWidth="1"/>
    <col min="301" max="301" width="15" customWidth="1"/>
    <col min="302" max="302" width="15" customWidth="1"/>
    <col min="303" max="303" width="15" customWidth="1"/>
    <col min="304" max="304" width="15" customWidth="1"/>
    <col min="305" max="305" width="15" customWidth="1"/>
    <col min="306" max="306" width="15" customWidth="1"/>
    <col min="307" max="307" width="15" customWidth="1"/>
    <col min="308" max="308" width="15" customWidth="1"/>
    <col min="309" max="309" width="15" customWidth="1"/>
    <col min="310" max="310" width="15" customWidth="1"/>
    <col min="311" max="311" width="15" customWidth="1"/>
    <col min="312" max="312" width="15" customWidth="1"/>
    <col min="313" max="313" width="15" customWidth="1"/>
    <col min="314" max="314" width="15" customWidth="1"/>
    <col min="315" max="315" width="15" customWidth="1"/>
    <col min="316" max="316" width="15" customWidth="1"/>
    <col min="317" max="317" width="15" customWidth="1"/>
    <col min="318" max="318" width="15" customWidth="1"/>
    <col min="319" max="319" width="15" customWidth="1"/>
    <col min="320" max="320" width="15" customWidth="1"/>
    <col min="321" max="321" width="15" customWidth="1"/>
    <col min="322" max="322" width="15" customWidth="1"/>
    <col min="323" max="323" width="15" customWidth="1"/>
    <col min="324" max="324" width="15" customWidth="1"/>
    <col min="325" max="325" width="15" customWidth="1"/>
    <col min="326" max="326" width="15" customWidth="1"/>
    <col min="327" max="327" width="15" customWidth="1"/>
    <col min="328" max="328" width="15" customWidth="1"/>
    <col min="329" max="329" width="15" customWidth="1"/>
    <col min="330" max="330" width="15" customWidth="1"/>
    <col min="331" max="331" width="15" customWidth="1"/>
    <col min="332" max="332" width="15" customWidth="1"/>
    <col min="333" max="333" width="15" customWidth="1"/>
    <col min="334" max="334" width="15" customWidth="1"/>
    <col min="335" max="335" width="15" customWidth="1"/>
    <col min="336" max="336" width="15" customWidth="1"/>
    <col min="337" max="337" width="15" customWidth="1"/>
    <col min="338" max="338" width="15" customWidth="1"/>
    <col min="339" max="339" width="15" customWidth="1"/>
    <col min="340" max="340" width="15" customWidth="1"/>
    <col min="341" max="341" width="15" customWidth="1"/>
    <col min="342" max="342" width="15" customWidth="1"/>
    <col min="343" max="343" width="15" customWidth="1"/>
  </cols>
  <sheetData>
    <row r="1" spans="1:1" x14ac:dyDescent="0.2">
      <c r="A1" t="inlineStr" s="1">
        <is>
          <t>Rocket</t>
        </is>
      </c>
    </row>
    <row r="2" spans="1:2" x14ac:dyDescent="0.2">
      <c r="A2" t="inlineStr" s="3">
        <is>
          <t>problem type</t>
        </is>
      </c>
      <c r="B2" t="inlineStr" s="4">
        <is>
          <t>IAC Rocket</t>
        </is>
      </c>
    </row>
    <row r="3" spans="1:2" x14ac:dyDescent="0.2">
      <c r="A3" t="inlineStr" s="3">
        <is>
          <t>reference</t>
        </is>
      </c>
      <c r="B3" t="inlineStr" s="6">
        <is>
          <t>RP-1311 Example 8: H2(L)/O2(L) IAC rocket</t>
        </is>
      </c>
    </row>
    <row r="4" spans="1:2" x14ac:dyDescent="0.2">
      <c r="A4" t="inlineStr" s="3">
        <is>
          <t>amount mode</t>
        </is>
      </c>
      <c r="B4" t="inlineStr" s="4">
        <is>
          <t>of_ratio</t>
        </is>
      </c>
    </row>
    <row r="5" spans="1:2" x14ac:dyDescent="0.2">
      <c r="A5" t="inlineStr" s="3">
        <is>
          <t>transport</t>
        </is>
      </c>
      <c r="B5" t="b" s="4">
        <v>0</v>
      </c>
    </row>
    <row r="6" spans="1:2" x14ac:dyDescent="0.2">
      <c r="A6" t="inlineStr" s="3">
        <is>
          <t>ions</t>
        </is>
      </c>
      <c r="B6" t="b" s="4">
        <v>0</v>
      </c>
    </row>
    <row r="7" spans="1:2" x14ac:dyDescent="0.2">
      <c r="A7" t="inlineStr" s="3">
        <is>
          <t>include_headers</t>
        </is>
      </c>
      <c r="B7" t="b" s="4">
        <v>0</v>
      </c>
    </row>
    <row r="9" spans="1:1" x14ac:dyDescent="0.2">
      <c r="A9" t="inlineStr" s="2">
        <is>
          <t>Reactants</t>
        </is>
      </c>
    </row>
    <row r="10" spans="1:6" x14ac:dyDescent="0.2">
      <c r="A10" t="inlineStr" s="3">
        <is>
          <t>name</t>
        </is>
      </c>
      <c r="B10" t="inlineStr" s="3">
        <is>
          <t>role</t>
        </is>
      </c>
      <c r="C10" t="inlineStr" s="3">
        <is>
          <t>base_amount</t>
        </is>
      </c>
      <c r="D10" t="inlineStr" s="3">
        <is>
          <t>basis</t>
        </is>
      </c>
      <c r="E10" t="inlineStr" s="3">
        <is>
          <t>T_reac, K</t>
        </is>
      </c>
      <c r="F10" t="inlineStr" s="3">
        <is>
          <t>computed weight</t>
        </is>
      </c>
    </row>
    <row r="11" spans="1:6" x14ac:dyDescent="0.2">
      <c r="A11" t="inlineStr" s="4">
        <is>
          <t>H2(L)</t>
        </is>
      </c>
      <c r="B11" t="inlineStr" s="4">
        <is>
          <t>fuel</t>
        </is>
      </c>
      <c r="C11" s="4">
        <v>1.0</v>
      </c>
      <c r="D11" t="inlineStr" s="4">
        <is>
          <t>weight</t>
        </is>
      </c>
      <c r="E11" s="4">
        <v>20.27</v>
      </c>
      <c r="F11" s="5">
        <f>INDEX(CEA_WEIGHTS_FROM_OF($A$10:$D$12,$B$16),1,1)</f>
      </c>
    </row>
    <row r="12" spans="1:6" x14ac:dyDescent="0.2">
      <c r="A12" t="inlineStr" s="4">
        <is>
          <t>O2(L)</t>
        </is>
      </c>
      <c r="B12" t="inlineStr" s="4">
        <is>
          <t>oxidizer</t>
        </is>
      </c>
      <c r="C12" s="4">
        <v>1.0</v>
      </c>
      <c r="D12" t="inlineStr" s="4">
        <is>
          <t>weight</t>
        </is>
      </c>
      <c r="E12" s="4">
        <v>90.17</v>
      </c>
      <c r="F12" s="5">
        <f>INDEX(CEA_WEIGHTS_FROM_OF($A$10:$D$12,$B$16),1,2)</f>
      </c>
    </row>
    <row r="14" spans="1:4" x14ac:dyDescent="0.2">
      <c r="A14" t="inlineStr" s="2">
        <is>
          <t>Rocket controls</t>
        </is>
      </c>
      <c r="D14" t="inlineStr" s="2">
        <is>
          <t>Schedules</t>
        </is>
      </c>
    </row>
    <row r="15" spans="4:6" x14ac:dyDescent="0.2">
      <c r="D15" t="inlineStr" s="3">
        <is>
          <t>pi_p</t>
        </is>
      </c>
      <c r="E15" t="inlineStr" s="3">
        <is>
          <t>subar</t>
        </is>
      </c>
      <c r="F15" t="inlineStr" s="3">
        <is>
          <t>supar</t>
        </is>
      </c>
    </row>
    <row r="16" spans="1:6" x14ac:dyDescent="0.2">
      <c r="A16" t="inlineStr" s="3">
        <is>
          <t>of_ratio</t>
        </is>
      </c>
      <c r="B16" s="4">
        <v>5.55157</v>
      </c>
      <c r="D16" s="4">
        <v>10.0</v>
      </c>
      <c r="E16" s="4">
        <v>1.58</v>
      </c>
      <c r="F16" s="4">
        <v>25.0</v>
      </c>
    </row>
    <row r="17" spans="1:6" x14ac:dyDescent="0.2">
      <c r="A17" t="inlineStr" s="3">
        <is>
          <t>pc, bar</t>
        </is>
      </c>
      <c r="B17" s="4">
        <v>53.3172</v>
      </c>
      <c r="D17" s="4">
        <v>100.0</v>
      </c>
      <c r="F17" s="4">
        <v>50.0</v>
      </c>
    </row>
    <row r="18" spans="1:6" x14ac:dyDescent="0.2">
      <c r="A18" t="inlineStr" s="3">
        <is>
          <t>n_frz</t>
        </is>
      </c>
      <c r="B18" s="4">
        <v>0</v>
      </c>
      <c r="D18" s="4">
        <v>1000.0</v>
      </c>
      <c r="F18" s="4">
        <v>75.0</v>
      </c>
    </row>
    <row r="19" spans="1:2" x14ac:dyDescent="0.2">
      <c r="A19" t="inlineStr" s="3">
        <is>
          <t>tc_est</t>
        </is>
      </c>
      <c r="B19" s="4"/>
    </row>
    <row r="21" spans="1:5" x14ac:dyDescent="0.2">
      <c r="A21" t="inlineStr" s="2">
        <is>
          <t>Requested properties</t>
        </is>
      </c>
      <c r="C21" t="inlineStr" s="2">
        <is>
          <t>Optional species</t>
        </is>
      </c>
      <c r="E21" t="inlineStr" s="2">
        <is>
          <t>Notes</t>
        </is>
      </c>
    </row>
    <row r="22" spans="1:5" x14ac:dyDescent="0.2">
      <c r="A22" t="inlineStr" s="4">
        <is>
          <t>T</t>
        </is>
      </c>
      <c r="C22" t="inlineStr" s="4">
        <is>
          <t>H2O</t>
        </is>
      </c>
      <c r="E22" t="inlineStr" s="6">
        <is>
          <t>One row implements RP-1311 Example 8. Copy the row to sweep O/F, chamber pressure, schedules, or reactant temperatures.</t>
        </is>
      </c>
    </row>
    <row r="23" spans="1:5" x14ac:dyDescent="0.2">
      <c r="A23" t="inlineStr" s="4">
        <is>
          <t>P</t>
        </is>
      </c>
      <c r="C23" t="inlineStr" s="4">
        <is>
          <t>H2</t>
        </is>
      </c>
      <c r="E23" t="inlineStr" s="6">
        <is>
          <t>The solve formula passes T_reac and leaves hc blank; the native wrapper computes chamber enthalpy from reactant temperatures.</t>
        </is>
      </c>
    </row>
    <row r="24" spans="1:5" x14ac:dyDescent="0.2">
      <c r="A24" t="inlineStr" s="4">
        <is>
          <t>density</t>
        </is>
      </c>
      <c r="C24" t="inlineStr" s="4">
        <is>
          <t>O2</t>
        </is>
      </c>
      <c r="E24" t="inlineStr" s="6">
        <is>
          <t>Output spills horizontally from the status column when opened in supported 64-bit Windows Excel.</t>
        </is>
      </c>
    </row>
    <row r="25" spans="1:3" x14ac:dyDescent="0.2">
      <c r="A25" t="inlineStr" s="4">
        <is>
          <t>enthalpy</t>
        </is>
      </c>
      <c r="C25" t="inlineStr" s="4">
        <is>
          <t>OH</t>
        </is>
      </c>
    </row>
    <row r="26" spans="1:3" x14ac:dyDescent="0.2">
      <c r="A26" t="inlineStr" s="4">
        <is>
          <t>energy</t>
        </is>
      </c>
      <c r="C26" t="inlineStr" s="4">
        <is>
          <t>H</t>
        </is>
      </c>
    </row>
    <row r="27" spans="1:3" x14ac:dyDescent="0.2">
      <c r="A27" t="inlineStr" s="4">
        <is>
          <t>gibbs_energy</t>
        </is>
      </c>
      <c r="C27" t="inlineStr" s="4">
        <is>
          <t>O</t>
        </is>
      </c>
    </row>
    <row r="28" spans="1:3" x14ac:dyDescent="0.2">
      <c r="A28" t="inlineStr" s="4">
        <is>
          <t>entropy</t>
        </is>
      </c>
      <c r="C28" t="inlineStr" s="4">
        <is>
          <t>HO2</t>
        </is>
      </c>
    </row>
    <row r="29" spans="1:3" x14ac:dyDescent="0.2">
      <c r="A29" t="inlineStr" s="4">
        <is>
          <t>M</t>
        </is>
      </c>
      <c r="C29" t="inlineStr" s="4">
        <is>
          <t>H2O2</t>
        </is>
      </c>
    </row>
    <row r="30" spans="1:1" x14ac:dyDescent="0.2">
      <c r="A30" t="inlineStr" s="4">
        <is>
          <t>MW</t>
        </is>
      </c>
    </row>
    <row r="31" spans="1:1" x14ac:dyDescent="0.2">
      <c r="A31" t="inlineStr" s="4">
        <is>
          <t>cp_eq</t>
        </is>
      </c>
    </row>
    <row r="32" spans="1:1" x14ac:dyDescent="0.2">
      <c r="A32" t="inlineStr" s="4">
        <is>
          <t>cp_fr</t>
        </is>
      </c>
    </row>
    <row r="33" spans="1:1" x14ac:dyDescent="0.2">
      <c r="A33" t="inlineStr" s="4">
        <is>
          <t>cv_eq</t>
        </is>
      </c>
    </row>
    <row r="34" spans="1:1" x14ac:dyDescent="0.2">
      <c r="A34" t="inlineStr" s="4">
        <is>
          <t>cv_fr</t>
        </is>
      </c>
    </row>
    <row r="35" spans="1:1" x14ac:dyDescent="0.2">
      <c r="A35" t="inlineStr" s="4">
        <is>
          <t>gamma_s</t>
        </is>
      </c>
    </row>
    <row r="36" spans="1:1" x14ac:dyDescent="0.2">
      <c r="A36" t="inlineStr" s="4">
        <is>
          <t>sonic_velocity</t>
        </is>
      </c>
    </row>
    <row r="37" spans="1:1" x14ac:dyDescent="0.2">
      <c r="A37" t="inlineStr" s="4">
        <is>
          <t>Mach</t>
        </is>
      </c>
    </row>
    <row r="38" spans="1:1" x14ac:dyDescent="0.2">
      <c r="A38" t="inlineStr" s="4">
        <is>
          <t>ae_at</t>
        </is>
      </c>
    </row>
    <row r="39" spans="1:1" x14ac:dyDescent="0.2">
      <c r="A39" t="inlineStr" s="4">
        <is>
          <t>c_star</t>
        </is>
      </c>
    </row>
    <row r="40" spans="1:1" x14ac:dyDescent="0.2">
      <c r="A40" t="inlineStr" s="4">
        <is>
          <t>coefficient_of_thrust</t>
        </is>
      </c>
    </row>
    <row r="41" spans="1:1" x14ac:dyDescent="0.2">
      <c r="A41" t="inlineStr" s="4">
        <is>
          <t>Isp_vacuum</t>
        </is>
      </c>
    </row>
    <row r="42" spans="1:1" x14ac:dyDescent="0.2">
      <c r="A42" t="inlineStr" s="4">
        <is>
          <t>Isp</t>
        </is>
      </c>
    </row>
    <row r="46" spans="1:343" x14ac:dyDescent="0.2">
      <c r="A46" t="inlineStr" s="3">
        <is>
          <t>case</t>
        </is>
      </c>
      <c r="B46" t="inlineStr" s="3">
        <is>
          <t>of_ratio</t>
        </is>
      </c>
      <c r="C46" t="inlineStr" s="3">
        <is>
          <t>pc, bar</t>
        </is>
      </c>
      <c r="D46" t="inlineStr" s="3">
        <is>
          <t>pi_p range</t>
        </is>
      </c>
      <c r="E46" t="inlineStr" s="3">
        <is>
          <t>subar range</t>
        </is>
      </c>
      <c r="F46" t="inlineStr" s="3">
        <is>
          <t>supar range</t>
        </is>
      </c>
      <c r="G46" t="inlineStr" s="3">
        <is>
          <t>T_reac range</t>
        </is>
      </c>
      <c r="H46" t="inlineStr" s="3">
        <is>
          <t>status</t>
        </is>
      </c>
      <c r="I46" t="inlineStr" s="3">
        <is>
          <t>converged</t>
        </is>
      </c>
      <c r="J46" t="inlineStr" s="3">
        <is>
          <t>message</t>
        </is>
      </c>
      <c r="K46" t="inlineStr" s="3">
        <is>
          <t>T_chamber</t>
        </is>
      </c>
      <c r="L46" t="inlineStr" s="3">
        <is>
          <t>T_throat</t>
        </is>
      </c>
      <c r="M46" t="inlineStr" s="3">
        <is>
          <t>T_exit_1</t>
        </is>
      </c>
      <c r="N46" t="inlineStr" s="3">
        <is>
          <t>T_exit_2</t>
        </is>
      </c>
      <c r="O46" t="inlineStr" s="3">
        <is>
          <t>T_exit_3</t>
        </is>
      </c>
      <c r="P46" t="inlineStr" s="3">
        <is>
          <t>T_exit_4</t>
        </is>
      </c>
      <c r="Q46" t="inlineStr" s="3">
        <is>
          <t>T_exit_5</t>
        </is>
      </c>
      <c r="R46" t="inlineStr" s="3">
        <is>
          <t>T_exit_6</t>
        </is>
      </c>
      <c r="S46" t="inlineStr" s="3">
        <is>
          <t>T_exit_7</t>
        </is>
      </c>
      <c r="T46" t="inlineStr" s="3">
        <is>
          <t>P_chamber</t>
        </is>
      </c>
      <c r="U46" t="inlineStr" s="3">
        <is>
          <t>P_throat</t>
        </is>
      </c>
      <c r="V46" t="inlineStr" s="3">
        <is>
          <t>P_exit_1</t>
        </is>
      </c>
      <c r="W46" t="inlineStr" s="3">
        <is>
          <t>P_exit_2</t>
        </is>
      </c>
      <c r="X46" t="inlineStr" s="3">
        <is>
          <t>P_exit_3</t>
        </is>
      </c>
      <c r="Y46" t="inlineStr" s="3">
        <is>
          <t>P_exit_4</t>
        </is>
      </c>
      <c r="Z46" t="inlineStr" s="3">
        <is>
          <t>P_exit_5</t>
        </is>
      </c>
      <c r="AA46" t="inlineStr" s="3">
        <is>
          <t>P_exit_6</t>
        </is>
      </c>
      <c r="AB46" t="inlineStr" s="3">
        <is>
          <t>P_exit_7</t>
        </is>
      </c>
      <c r="AC46" t="inlineStr" s="3">
        <is>
          <t>density_chamber</t>
        </is>
      </c>
      <c r="AD46" t="inlineStr" s="3">
        <is>
          <t>density_throat</t>
        </is>
      </c>
      <c r="AE46" t="inlineStr" s="3">
        <is>
          <t>density_exit_1</t>
        </is>
      </c>
      <c r="AF46" t="inlineStr" s="3">
        <is>
          <t>density_exit_2</t>
        </is>
      </c>
      <c r="AG46" t="inlineStr" s="3">
        <is>
          <t>density_exit_3</t>
        </is>
      </c>
      <c r="AH46" t="inlineStr" s="3">
        <is>
          <t>density_exit_4</t>
        </is>
      </c>
      <c r="AI46" t="inlineStr" s="3">
        <is>
          <t>density_exit_5</t>
        </is>
      </c>
      <c r="AJ46" t="inlineStr" s="3">
        <is>
          <t>density_exit_6</t>
        </is>
      </c>
      <c r="AK46" t="inlineStr" s="3">
        <is>
          <t>density_exit_7</t>
        </is>
      </c>
      <c r="AL46" t="inlineStr" s="3">
        <is>
          <t>enthalpy_chamber</t>
        </is>
      </c>
      <c r="AM46" t="inlineStr" s="3">
        <is>
          <t>enthalpy_throat</t>
        </is>
      </c>
      <c r="AN46" t="inlineStr" s="3">
        <is>
          <t>enthalpy_exit_1</t>
        </is>
      </c>
      <c r="AO46" t="inlineStr" s="3">
        <is>
          <t>enthalpy_exit_2</t>
        </is>
      </c>
      <c r="AP46" t="inlineStr" s="3">
        <is>
          <t>enthalpy_exit_3</t>
        </is>
      </c>
      <c r="AQ46" t="inlineStr" s="3">
        <is>
          <t>enthalpy_exit_4</t>
        </is>
      </c>
      <c r="AR46" t="inlineStr" s="3">
        <is>
          <t>enthalpy_exit_5</t>
        </is>
      </c>
      <c r="AS46" t="inlineStr" s="3">
        <is>
          <t>enthalpy_exit_6</t>
        </is>
      </c>
      <c r="AT46" t="inlineStr" s="3">
        <is>
          <t>enthalpy_exit_7</t>
        </is>
      </c>
      <c r="AU46" t="inlineStr" s="3">
        <is>
          <t>energy_chamber</t>
        </is>
      </c>
      <c r="AV46" t="inlineStr" s="3">
        <is>
          <t>energy_throat</t>
        </is>
      </c>
      <c r="AW46" t="inlineStr" s="3">
        <is>
          <t>energy_exit_1</t>
        </is>
      </c>
      <c r="AX46" t="inlineStr" s="3">
        <is>
          <t>energy_exit_2</t>
        </is>
      </c>
      <c r="AY46" t="inlineStr" s="3">
        <is>
          <t>energy_exit_3</t>
        </is>
      </c>
      <c r="AZ46" t="inlineStr" s="3">
        <is>
          <t>energy_exit_4</t>
        </is>
      </c>
      <c r="BA46" t="inlineStr" s="3">
        <is>
          <t>energy_exit_5</t>
        </is>
      </c>
      <c r="BB46" t="inlineStr" s="3">
        <is>
          <t>energy_exit_6</t>
        </is>
      </c>
      <c r="BC46" t="inlineStr" s="3">
        <is>
          <t>energy_exit_7</t>
        </is>
      </c>
      <c r="BD46" t="inlineStr" s="3">
        <is>
          <t>gibbs_energy_chamber</t>
        </is>
      </c>
      <c r="BE46" t="inlineStr" s="3">
        <is>
          <t>gibbs_energy_throat</t>
        </is>
      </c>
      <c r="BF46" t="inlineStr" s="3">
        <is>
          <t>gibbs_energy_exit_1</t>
        </is>
      </c>
      <c r="BG46" t="inlineStr" s="3">
        <is>
          <t>gibbs_energy_exit_2</t>
        </is>
      </c>
      <c r="BH46" t="inlineStr" s="3">
        <is>
          <t>gibbs_energy_exit_3</t>
        </is>
      </c>
      <c r="BI46" t="inlineStr" s="3">
        <is>
          <t>gibbs_energy_exit_4</t>
        </is>
      </c>
      <c r="BJ46" t="inlineStr" s="3">
        <is>
          <t>gibbs_energy_exit_5</t>
        </is>
      </c>
      <c r="BK46" t="inlineStr" s="3">
        <is>
          <t>gibbs_energy_exit_6</t>
        </is>
      </c>
      <c r="BL46" t="inlineStr" s="3">
        <is>
          <t>gibbs_energy_exit_7</t>
        </is>
      </c>
      <c r="BM46" t="inlineStr" s="3">
        <is>
          <t>entropy_chamber</t>
        </is>
      </c>
      <c r="BN46" t="inlineStr" s="3">
        <is>
          <t>entropy_throat</t>
        </is>
      </c>
      <c r="BO46" t="inlineStr" s="3">
        <is>
          <t>entropy_exit_1</t>
        </is>
      </c>
      <c r="BP46" t="inlineStr" s="3">
        <is>
          <t>entropy_exit_2</t>
        </is>
      </c>
      <c r="BQ46" t="inlineStr" s="3">
        <is>
          <t>entropy_exit_3</t>
        </is>
      </c>
      <c r="BR46" t="inlineStr" s="3">
        <is>
          <t>entropy_exit_4</t>
        </is>
      </c>
      <c r="BS46" t="inlineStr" s="3">
        <is>
          <t>entropy_exit_5</t>
        </is>
      </c>
      <c r="BT46" t="inlineStr" s="3">
        <is>
          <t>entropy_exit_6</t>
        </is>
      </c>
      <c r="BU46" t="inlineStr" s="3">
        <is>
          <t>entropy_exit_7</t>
        </is>
      </c>
      <c r="BV46" t="inlineStr" s="3">
        <is>
          <t>M_chamber</t>
        </is>
      </c>
      <c r="BW46" t="inlineStr" s="3">
        <is>
          <t>M_throat</t>
        </is>
      </c>
      <c r="BX46" t="inlineStr" s="3">
        <is>
          <t>M_exit_1</t>
        </is>
      </c>
      <c r="BY46" t="inlineStr" s="3">
        <is>
          <t>M_exit_2</t>
        </is>
      </c>
      <c r="BZ46" t="inlineStr" s="3">
        <is>
          <t>M_exit_3</t>
        </is>
      </c>
      <c r="CA46" t="inlineStr" s="3">
        <is>
          <t>M_exit_4</t>
        </is>
      </c>
      <c r="CB46" t="inlineStr" s="3">
        <is>
          <t>M_exit_5</t>
        </is>
      </c>
      <c r="CC46" t="inlineStr" s="3">
        <is>
          <t>M_exit_6</t>
        </is>
      </c>
      <c r="CD46" t="inlineStr" s="3">
        <is>
          <t>M_exit_7</t>
        </is>
      </c>
      <c r="CE46" t="inlineStr" s="3">
        <is>
          <t>MW_chamber</t>
        </is>
      </c>
      <c r="CF46" t="inlineStr" s="3">
        <is>
          <t>MW_throat</t>
        </is>
      </c>
      <c r="CG46" t="inlineStr" s="3">
        <is>
          <t>MW_exit_1</t>
        </is>
      </c>
      <c r="CH46" t="inlineStr" s="3">
        <is>
          <t>MW_exit_2</t>
        </is>
      </c>
      <c r="CI46" t="inlineStr" s="3">
        <is>
          <t>MW_exit_3</t>
        </is>
      </c>
      <c r="CJ46" t="inlineStr" s="3">
        <is>
          <t>MW_exit_4</t>
        </is>
      </c>
      <c r="CK46" t="inlineStr" s="3">
        <is>
          <t>MW_exit_5</t>
        </is>
      </c>
      <c r="CL46" t="inlineStr" s="3">
        <is>
          <t>MW_exit_6</t>
        </is>
      </c>
      <c r="CM46" t="inlineStr" s="3">
        <is>
          <t>MW_exit_7</t>
        </is>
      </c>
      <c r="CN46" t="inlineStr" s="3">
        <is>
          <t>cp_eq_chamber</t>
        </is>
      </c>
      <c r="CO46" t="inlineStr" s="3">
        <is>
          <t>cp_eq_throat</t>
        </is>
      </c>
      <c r="CP46" t="inlineStr" s="3">
        <is>
          <t>cp_eq_exit_1</t>
        </is>
      </c>
      <c r="CQ46" t="inlineStr" s="3">
        <is>
          <t>cp_eq_exit_2</t>
        </is>
      </c>
      <c r="CR46" t="inlineStr" s="3">
        <is>
          <t>cp_eq_exit_3</t>
        </is>
      </c>
      <c r="CS46" t="inlineStr" s="3">
        <is>
          <t>cp_eq_exit_4</t>
        </is>
      </c>
      <c r="CT46" t="inlineStr" s="3">
        <is>
          <t>cp_eq_exit_5</t>
        </is>
      </c>
      <c r="CU46" t="inlineStr" s="3">
        <is>
          <t>cp_eq_exit_6</t>
        </is>
      </c>
      <c r="CV46" t="inlineStr" s="3">
        <is>
          <t>cp_eq_exit_7</t>
        </is>
      </c>
      <c r="CW46" t="inlineStr" s="3">
        <is>
          <t>cp_fr_chamber</t>
        </is>
      </c>
      <c r="CX46" t="inlineStr" s="3">
        <is>
          <t>cp_fr_throat</t>
        </is>
      </c>
      <c r="CY46" t="inlineStr" s="3">
        <is>
          <t>cp_fr_exit_1</t>
        </is>
      </c>
      <c r="CZ46" t="inlineStr" s="3">
        <is>
          <t>cp_fr_exit_2</t>
        </is>
      </c>
      <c r="DA46" t="inlineStr" s="3">
        <is>
          <t>cp_fr_exit_3</t>
        </is>
      </c>
      <c r="DB46" t="inlineStr" s="3">
        <is>
          <t>cp_fr_exit_4</t>
        </is>
      </c>
      <c r="DC46" t="inlineStr" s="3">
        <is>
          <t>cp_fr_exit_5</t>
        </is>
      </c>
      <c r="DD46" t="inlineStr" s="3">
        <is>
          <t>cp_fr_exit_6</t>
        </is>
      </c>
      <c r="DE46" t="inlineStr" s="3">
        <is>
          <t>cp_fr_exit_7</t>
        </is>
      </c>
      <c r="DF46" t="inlineStr" s="3">
        <is>
          <t>cv_eq_chamber</t>
        </is>
      </c>
      <c r="DG46" t="inlineStr" s="3">
        <is>
          <t>cv_eq_throat</t>
        </is>
      </c>
      <c r="DH46" t="inlineStr" s="3">
        <is>
          <t>cv_eq_exit_1</t>
        </is>
      </c>
      <c r="DI46" t="inlineStr" s="3">
        <is>
          <t>cv_eq_exit_2</t>
        </is>
      </c>
      <c r="DJ46" t="inlineStr" s="3">
        <is>
          <t>cv_eq_exit_3</t>
        </is>
      </c>
      <c r="DK46" t="inlineStr" s="3">
        <is>
          <t>cv_eq_exit_4</t>
        </is>
      </c>
      <c r="DL46" t="inlineStr" s="3">
        <is>
          <t>cv_eq_exit_5</t>
        </is>
      </c>
      <c r="DM46" t="inlineStr" s="3">
        <is>
          <t>cv_eq_exit_6</t>
        </is>
      </c>
      <c r="DN46" t="inlineStr" s="3">
        <is>
          <t>cv_eq_exit_7</t>
        </is>
      </c>
      <c r="DO46" t="inlineStr" s="3">
        <is>
          <t>cv_fr_chamber</t>
        </is>
      </c>
      <c r="DP46" t="inlineStr" s="3">
        <is>
          <t>cv_fr_throat</t>
        </is>
      </c>
      <c r="DQ46" t="inlineStr" s="3">
        <is>
          <t>cv_fr_exit_1</t>
        </is>
      </c>
      <c r="DR46" t="inlineStr" s="3">
        <is>
          <t>cv_fr_exit_2</t>
        </is>
      </c>
      <c r="DS46" t="inlineStr" s="3">
        <is>
          <t>cv_fr_exit_3</t>
        </is>
      </c>
      <c r="DT46" t="inlineStr" s="3">
        <is>
          <t>cv_fr_exit_4</t>
        </is>
      </c>
      <c r="DU46" t="inlineStr" s="3">
        <is>
          <t>cv_fr_exit_5</t>
        </is>
      </c>
      <c r="DV46" t="inlineStr" s="3">
        <is>
          <t>cv_fr_exit_6</t>
        </is>
      </c>
      <c r="DW46" t="inlineStr" s="3">
        <is>
          <t>cv_fr_exit_7</t>
        </is>
      </c>
      <c r="DX46" t="inlineStr" s="3">
        <is>
          <t>gamma_s_chamber</t>
        </is>
      </c>
      <c r="DY46" t="inlineStr" s="3">
        <is>
          <t>gamma_s_throat</t>
        </is>
      </c>
      <c r="DZ46" t="inlineStr" s="3">
        <is>
          <t>gamma_s_exit_1</t>
        </is>
      </c>
      <c r="EA46" t="inlineStr" s="3">
        <is>
          <t>gamma_s_exit_2</t>
        </is>
      </c>
      <c r="EB46" t="inlineStr" s="3">
        <is>
          <t>gamma_s_exit_3</t>
        </is>
      </c>
      <c r="EC46" t="inlineStr" s="3">
        <is>
          <t>gamma_s_exit_4</t>
        </is>
      </c>
      <c r="ED46" t="inlineStr" s="3">
        <is>
          <t>gamma_s_exit_5</t>
        </is>
      </c>
      <c r="EE46" t="inlineStr" s="3">
        <is>
          <t>gamma_s_exit_6</t>
        </is>
      </c>
      <c r="EF46" t="inlineStr" s="3">
        <is>
          <t>gamma_s_exit_7</t>
        </is>
      </c>
      <c r="EG46" t="inlineStr" s="3">
        <is>
          <t>sonic_velocity_chamber</t>
        </is>
      </c>
      <c r="EH46" t="inlineStr" s="3">
        <is>
          <t>sonic_velocity_throat</t>
        </is>
      </c>
      <c r="EI46" t="inlineStr" s="3">
        <is>
          <t>sonic_velocity_exit_1</t>
        </is>
      </c>
      <c r="EJ46" t="inlineStr" s="3">
        <is>
          <t>sonic_velocity_exit_2</t>
        </is>
      </c>
      <c r="EK46" t="inlineStr" s="3">
        <is>
          <t>sonic_velocity_exit_3</t>
        </is>
      </c>
      <c r="EL46" t="inlineStr" s="3">
        <is>
          <t>sonic_velocity_exit_4</t>
        </is>
      </c>
      <c r="EM46" t="inlineStr" s="3">
        <is>
          <t>sonic_velocity_exit_5</t>
        </is>
      </c>
      <c r="EN46" t="inlineStr" s="3">
        <is>
          <t>sonic_velocity_exit_6</t>
        </is>
      </c>
      <c r="EO46" t="inlineStr" s="3">
        <is>
          <t>sonic_velocity_exit_7</t>
        </is>
      </c>
      <c r="EP46" t="inlineStr" s="3">
        <is>
          <t>Mach_chamber</t>
        </is>
      </c>
      <c r="EQ46" t="inlineStr" s="3">
        <is>
          <t>Mach_throat</t>
        </is>
      </c>
      <c r="ER46" t="inlineStr" s="3">
        <is>
          <t>Mach_exit_1</t>
        </is>
      </c>
      <c r="ES46" t="inlineStr" s="3">
        <is>
          <t>Mach_exit_2</t>
        </is>
      </c>
      <c r="ET46" t="inlineStr" s="3">
        <is>
          <t>Mach_exit_3</t>
        </is>
      </c>
      <c r="EU46" t="inlineStr" s="3">
        <is>
          <t>Mach_exit_4</t>
        </is>
      </c>
      <c r="EV46" t="inlineStr" s="3">
        <is>
          <t>Mach_exit_5</t>
        </is>
      </c>
      <c r="EW46" t="inlineStr" s="3">
        <is>
          <t>Mach_exit_6</t>
        </is>
      </c>
      <c r="EX46" t="inlineStr" s="3">
        <is>
          <t>Mach_exit_7</t>
        </is>
      </c>
      <c r="EY46" t="inlineStr" s="3">
        <is>
          <t>ae_at_chamber</t>
        </is>
      </c>
      <c r="EZ46" t="inlineStr" s="3">
        <is>
          <t>ae_at_throat</t>
        </is>
      </c>
      <c r="FA46" t="inlineStr" s="3">
        <is>
          <t>ae_at_exit_1</t>
        </is>
      </c>
      <c r="FB46" t="inlineStr" s="3">
        <is>
          <t>ae_at_exit_2</t>
        </is>
      </c>
      <c r="FC46" t="inlineStr" s="3">
        <is>
          <t>ae_at_exit_3</t>
        </is>
      </c>
      <c r="FD46" t="inlineStr" s="3">
        <is>
          <t>ae_at_exit_4</t>
        </is>
      </c>
      <c r="FE46" t="inlineStr" s="3">
        <is>
          <t>ae_at_exit_5</t>
        </is>
      </c>
      <c r="FF46" t="inlineStr" s="3">
        <is>
          <t>ae_at_exit_6</t>
        </is>
      </c>
      <c r="FG46" t="inlineStr" s="3">
        <is>
          <t>ae_at_exit_7</t>
        </is>
      </c>
      <c r="FH46" t="inlineStr" s="3">
        <is>
          <t>c_star_chamber</t>
        </is>
      </c>
      <c r="FI46" t="inlineStr" s="3">
        <is>
          <t>c_star_throat</t>
        </is>
      </c>
      <c r="FJ46" t="inlineStr" s="3">
        <is>
          <t>c_star_exit_1</t>
        </is>
      </c>
      <c r="FK46" t="inlineStr" s="3">
        <is>
          <t>c_star_exit_2</t>
        </is>
      </c>
      <c r="FL46" t="inlineStr" s="3">
        <is>
          <t>c_star_exit_3</t>
        </is>
      </c>
      <c r="FM46" t="inlineStr" s="3">
        <is>
          <t>c_star_exit_4</t>
        </is>
      </c>
      <c r="FN46" t="inlineStr" s="3">
        <is>
          <t>c_star_exit_5</t>
        </is>
      </c>
      <c r="FO46" t="inlineStr" s="3">
        <is>
          <t>c_star_exit_6</t>
        </is>
      </c>
      <c r="FP46" t="inlineStr" s="3">
        <is>
          <t>c_star_exit_7</t>
        </is>
      </c>
      <c r="FQ46" t="inlineStr" s="3">
        <is>
          <t>coefficient_of_thrust_chamber</t>
        </is>
      </c>
      <c r="FR46" t="inlineStr" s="3">
        <is>
          <t>coefficient_of_thrust_throat</t>
        </is>
      </c>
      <c r="FS46" t="inlineStr" s="3">
        <is>
          <t>coefficient_of_thrust_exit_1</t>
        </is>
      </c>
      <c r="FT46" t="inlineStr" s="3">
        <is>
          <t>coefficient_of_thrust_exit_2</t>
        </is>
      </c>
      <c r="FU46" t="inlineStr" s="3">
        <is>
          <t>coefficient_of_thrust_exit_3</t>
        </is>
      </c>
      <c r="FV46" t="inlineStr" s="3">
        <is>
          <t>coefficient_of_thrust_exit_4</t>
        </is>
      </c>
      <c r="FW46" t="inlineStr" s="3">
        <is>
          <t>coefficient_of_thrust_exit_5</t>
        </is>
      </c>
      <c r="FX46" t="inlineStr" s="3">
        <is>
          <t>coefficient_of_thrust_exit_6</t>
        </is>
      </c>
      <c r="FY46" t="inlineStr" s="3">
        <is>
          <t>coefficient_of_thrust_exit_7</t>
        </is>
      </c>
      <c r="FZ46" t="inlineStr" s="3">
        <is>
          <t>Isp_vacuum_chamber</t>
        </is>
      </c>
      <c r="GA46" t="inlineStr" s="3">
        <is>
          <t>Isp_vacuum_throat</t>
        </is>
      </c>
      <c r="GB46" t="inlineStr" s="3">
        <is>
          <t>Isp_vacuum_exit_1</t>
        </is>
      </c>
      <c r="GC46" t="inlineStr" s="3">
        <is>
          <t>Isp_vacuum_exit_2</t>
        </is>
      </c>
      <c r="GD46" t="inlineStr" s="3">
        <is>
          <t>Isp_vacuum_exit_3</t>
        </is>
      </c>
      <c r="GE46" t="inlineStr" s="3">
        <is>
          <t>Isp_vacuum_exit_4</t>
        </is>
      </c>
      <c r="GF46" t="inlineStr" s="3">
        <is>
          <t>Isp_vacuum_exit_5</t>
        </is>
      </c>
      <c r="GG46" t="inlineStr" s="3">
        <is>
          <t>Isp_vacuum_exit_6</t>
        </is>
      </c>
      <c r="GH46" t="inlineStr" s="3">
        <is>
          <t>Isp_vacuum_exit_7</t>
        </is>
      </c>
      <c r="GI46" t="inlineStr" s="3">
        <is>
          <t>Isp_chamber</t>
        </is>
      </c>
      <c r="GJ46" t="inlineStr" s="3">
        <is>
          <t>Isp_throat</t>
        </is>
      </c>
      <c r="GK46" t="inlineStr" s="3">
        <is>
          <t>Isp_exit_1</t>
        </is>
      </c>
      <c r="GL46" t="inlineStr" s="3">
        <is>
          <t>Isp_exit_2</t>
        </is>
      </c>
      <c r="GM46" t="inlineStr" s="3">
        <is>
          <t>Isp_exit_3</t>
        </is>
      </c>
      <c r="GN46" t="inlineStr" s="3">
        <is>
          <t>Isp_exit_4</t>
        </is>
      </c>
      <c r="GO46" t="inlineStr" s="3">
        <is>
          <t>Isp_exit_5</t>
        </is>
      </c>
      <c r="GP46" t="inlineStr" s="3">
        <is>
          <t>Isp_exit_6</t>
        </is>
      </c>
      <c r="GQ46" t="inlineStr" s="3">
        <is>
          <t>Isp_exit_7</t>
        </is>
      </c>
      <c r="GR46" t="inlineStr" s="3">
        <is>
          <t>mass_H2O_chamber</t>
        </is>
      </c>
      <c r="GS46" t="inlineStr" s="3">
        <is>
          <t>mole_H2O_chamber</t>
        </is>
      </c>
      <c r="GT46" t="inlineStr" s="3">
        <is>
          <t>mass_H2O_throat</t>
        </is>
      </c>
      <c r="GU46" t="inlineStr" s="3">
        <is>
          <t>mole_H2O_throat</t>
        </is>
      </c>
      <c r="GV46" t="inlineStr" s="3">
        <is>
          <t>mass_H2O_exit_1</t>
        </is>
      </c>
      <c r="GW46" t="inlineStr" s="3">
        <is>
          <t>mole_H2O_exit_1</t>
        </is>
      </c>
      <c r="GX46" t="inlineStr" s="3">
        <is>
          <t>mass_H2O_exit_2</t>
        </is>
      </c>
      <c r="GY46" t="inlineStr" s="3">
        <is>
          <t>mole_H2O_exit_2</t>
        </is>
      </c>
      <c r="GZ46" t="inlineStr" s="3">
        <is>
          <t>mass_H2O_exit_3</t>
        </is>
      </c>
      <c r="HA46" t="inlineStr" s="3">
        <is>
          <t>mole_H2O_exit_3</t>
        </is>
      </c>
      <c r="HB46" t="inlineStr" s="3">
        <is>
          <t>mass_H2O_exit_4</t>
        </is>
      </c>
      <c r="HC46" t="inlineStr" s="3">
        <is>
          <t>mole_H2O_exit_4</t>
        </is>
      </c>
      <c r="HD46" t="inlineStr" s="3">
        <is>
          <t>mass_H2O_exit_5</t>
        </is>
      </c>
      <c r="HE46" t="inlineStr" s="3">
        <is>
          <t>mole_H2O_exit_5</t>
        </is>
      </c>
      <c r="HF46" t="inlineStr" s="3">
        <is>
          <t>mass_H2O_exit_6</t>
        </is>
      </c>
      <c r="HG46" t="inlineStr" s="3">
        <is>
          <t>mole_H2O_exit_6</t>
        </is>
      </c>
      <c r="HH46" t="inlineStr" s="3">
        <is>
          <t>mass_H2O_exit_7</t>
        </is>
      </c>
      <c r="HI46" t="inlineStr" s="3">
        <is>
          <t>mole_H2O_exit_7</t>
        </is>
      </c>
      <c r="HJ46" t="inlineStr" s="3">
        <is>
          <t>mass_H2_chamber</t>
        </is>
      </c>
      <c r="HK46" t="inlineStr" s="3">
        <is>
          <t>mole_H2_chamber</t>
        </is>
      </c>
      <c r="HL46" t="inlineStr" s="3">
        <is>
          <t>mass_H2_throat</t>
        </is>
      </c>
      <c r="HM46" t="inlineStr" s="3">
        <is>
          <t>mole_H2_throat</t>
        </is>
      </c>
      <c r="HN46" t="inlineStr" s="3">
        <is>
          <t>mass_H2_exit_1</t>
        </is>
      </c>
      <c r="HO46" t="inlineStr" s="3">
        <is>
          <t>mole_H2_exit_1</t>
        </is>
      </c>
      <c r="HP46" t="inlineStr" s="3">
        <is>
          <t>mass_H2_exit_2</t>
        </is>
      </c>
      <c r="HQ46" t="inlineStr" s="3">
        <is>
          <t>mole_H2_exit_2</t>
        </is>
      </c>
      <c r="HR46" t="inlineStr" s="3">
        <is>
          <t>mass_H2_exit_3</t>
        </is>
      </c>
      <c r="HS46" t="inlineStr" s="3">
        <is>
          <t>mole_H2_exit_3</t>
        </is>
      </c>
      <c r="HT46" t="inlineStr" s="3">
        <is>
          <t>mass_H2_exit_4</t>
        </is>
      </c>
      <c r="HU46" t="inlineStr" s="3">
        <is>
          <t>mole_H2_exit_4</t>
        </is>
      </c>
      <c r="HV46" t="inlineStr" s="3">
        <is>
          <t>mass_H2_exit_5</t>
        </is>
      </c>
      <c r="HW46" t="inlineStr" s="3">
        <is>
          <t>mole_H2_exit_5</t>
        </is>
      </c>
      <c r="HX46" t="inlineStr" s="3">
        <is>
          <t>mass_H2_exit_6</t>
        </is>
      </c>
      <c r="HY46" t="inlineStr" s="3">
        <is>
          <t>mole_H2_exit_6</t>
        </is>
      </c>
      <c r="HZ46" t="inlineStr" s="3">
        <is>
          <t>mass_H2_exit_7</t>
        </is>
      </c>
      <c r="IA46" t="inlineStr" s="3">
        <is>
          <t>mole_H2_exit_7</t>
        </is>
      </c>
      <c r="IB46" t="inlineStr" s="3">
        <is>
          <t>mass_O2_chamber</t>
        </is>
      </c>
      <c r="IC46" t="inlineStr" s="3">
        <is>
          <t>mole_O2_chamber</t>
        </is>
      </c>
      <c r="ID46" t="inlineStr" s="3">
        <is>
          <t>mass_O2_throat</t>
        </is>
      </c>
      <c r="IE46" t="inlineStr" s="3">
        <is>
          <t>mole_O2_throat</t>
        </is>
      </c>
      <c r="IF46" t="inlineStr" s="3">
        <is>
          <t>mass_O2_exit_1</t>
        </is>
      </c>
      <c r="IG46" t="inlineStr" s="3">
        <is>
          <t>mole_O2_exit_1</t>
        </is>
      </c>
      <c r="IH46" t="inlineStr" s="3">
        <is>
          <t>mass_O2_exit_2</t>
        </is>
      </c>
      <c r="II46" t="inlineStr" s="3">
        <is>
          <t>mole_O2_exit_2</t>
        </is>
      </c>
      <c r="IJ46" t="inlineStr" s="3">
        <is>
          <t>mass_O2_exit_3</t>
        </is>
      </c>
      <c r="IK46" t="inlineStr" s="3">
        <is>
          <t>mole_O2_exit_3</t>
        </is>
      </c>
      <c r="IL46" t="inlineStr" s="3">
        <is>
          <t>mass_O2_exit_4</t>
        </is>
      </c>
      <c r="IM46" t="inlineStr" s="3">
        <is>
          <t>mole_O2_exit_4</t>
        </is>
      </c>
      <c r="IN46" t="inlineStr" s="3">
        <is>
          <t>mass_O2_exit_5</t>
        </is>
      </c>
      <c r="IO46" t="inlineStr" s="3">
        <is>
          <t>mole_O2_exit_5</t>
        </is>
      </c>
      <c r="IP46" t="inlineStr" s="3">
        <is>
          <t>mass_O2_exit_6</t>
        </is>
      </c>
      <c r="IQ46" t="inlineStr" s="3">
        <is>
          <t>mole_O2_exit_6</t>
        </is>
      </c>
      <c r="IR46" t="inlineStr" s="3">
        <is>
          <t>mass_O2_exit_7</t>
        </is>
      </c>
      <c r="IS46" t="inlineStr" s="3">
        <is>
          <t>mole_O2_exit_7</t>
        </is>
      </c>
      <c r="IT46" t="inlineStr" s="3">
        <is>
          <t>mass_OH_chamber</t>
        </is>
      </c>
      <c r="IU46" t="inlineStr" s="3">
        <is>
          <t>mole_OH_chamber</t>
        </is>
      </c>
      <c r="IV46" t="inlineStr" s="3">
        <is>
          <t>mass_OH_throat</t>
        </is>
      </c>
      <c r="IW46" t="inlineStr" s="3">
        <is>
          <t>mole_OH_throat</t>
        </is>
      </c>
      <c r="IX46" t="inlineStr" s="3">
        <is>
          <t>mass_OH_exit_1</t>
        </is>
      </c>
      <c r="IY46" t="inlineStr" s="3">
        <is>
          <t>mole_OH_exit_1</t>
        </is>
      </c>
      <c r="IZ46" t="inlineStr" s="3">
        <is>
          <t>mass_OH_exit_2</t>
        </is>
      </c>
      <c r="JA46" t="inlineStr" s="3">
        <is>
          <t>mole_OH_exit_2</t>
        </is>
      </c>
      <c r="JB46" t="inlineStr" s="3">
        <is>
          <t>mass_OH_exit_3</t>
        </is>
      </c>
      <c r="JC46" t="inlineStr" s="3">
        <is>
          <t>mole_OH_exit_3</t>
        </is>
      </c>
      <c r="JD46" t="inlineStr" s="3">
        <is>
          <t>mass_OH_exit_4</t>
        </is>
      </c>
      <c r="JE46" t="inlineStr" s="3">
        <is>
          <t>mole_OH_exit_4</t>
        </is>
      </c>
      <c r="JF46" t="inlineStr" s="3">
        <is>
          <t>mass_OH_exit_5</t>
        </is>
      </c>
      <c r="JG46" t="inlineStr" s="3">
        <is>
          <t>mole_OH_exit_5</t>
        </is>
      </c>
      <c r="JH46" t="inlineStr" s="3">
        <is>
          <t>mass_OH_exit_6</t>
        </is>
      </c>
      <c r="JI46" t="inlineStr" s="3">
        <is>
          <t>mole_OH_exit_6</t>
        </is>
      </c>
      <c r="JJ46" t="inlineStr" s="3">
        <is>
          <t>mass_OH_exit_7</t>
        </is>
      </c>
      <c r="JK46" t="inlineStr" s="3">
        <is>
          <t>mole_OH_exit_7</t>
        </is>
      </c>
      <c r="JL46" t="inlineStr" s="3">
        <is>
          <t>mass_H_chamber</t>
        </is>
      </c>
      <c r="JM46" t="inlineStr" s="3">
        <is>
          <t>mole_H_chamber</t>
        </is>
      </c>
      <c r="JN46" t="inlineStr" s="3">
        <is>
          <t>mass_H_throat</t>
        </is>
      </c>
      <c r="JO46" t="inlineStr" s="3">
        <is>
          <t>mole_H_throat</t>
        </is>
      </c>
      <c r="JP46" t="inlineStr" s="3">
        <is>
          <t>mass_H_exit_1</t>
        </is>
      </c>
      <c r="JQ46" t="inlineStr" s="3">
        <is>
          <t>mole_H_exit_1</t>
        </is>
      </c>
      <c r="JR46" t="inlineStr" s="3">
        <is>
          <t>mass_H_exit_2</t>
        </is>
      </c>
      <c r="JS46" t="inlineStr" s="3">
        <is>
          <t>mole_H_exit_2</t>
        </is>
      </c>
      <c r="JT46" t="inlineStr" s="3">
        <is>
          <t>mass_H_exit_3</t>
        </is>
      </c>
      <c r="JU46" t="inlineStr" s="3">
        <is>
          <t>mole_H_exit_3</t>
        </is>
      </c>
      <c r="JV46" t="inlineStr" s="3">
        <is>
          <t>mass_H_exit_4</t>
        </is>
      </c>
      <c r="JW46" t="inlineStr" s="3">
        <is>
          <t>mole_H_exit_4</t>
        </is>
      </c>
      <c r="JX46" t="inlineStr" s="3">
        <is>
          <t>mass_H_exit_5</t>
        </is>
      </c>
      <c r="JY46" t="inlineStr" s="3">
        <is>
          <t>mole_H_exit_5</t>
        </is>
      </c>
      <c r="JZ46" t="inlineStr" s="3">
        <is>
          <t>mass_H_exit_6</t>
        </is>
      </c>
      <c r="KA46" t="inlineStr" s="3">
        <is>
          <t>mole_H_exit_6</t>
        </is>
      </c>
      <c r="KB46" t="inlineStr" s="3">
        <is>
          <t>mass_H_exit_7</t>
        </is>
      </c>
      <c r="KC46" t="inlineStr" s="3">
        <is>
          <t>mole_H_exit_7</t>
        </is>
      </c>
      <c r="KD46" t="inlineStr" s="3">
        <is>
          <t>mass_O_chamber</t>
        </is>
      </c>
      <c r="KE46" t="inlineStr" s="3">
        <is>
          <t>mole_O_chamber</t>
        </is>
      </c>
      <c r="KF46" t="inlineStr" s="3">
        <is>
          <t>mass_O_throat</t>
        </is>
      </c>
      <c r="KG46" t="inlineStr" s="3">
        <is>
          <t>mole_O_throat</t>
        </is>
      </c>
      <c r="KH46" t="inlineStr" s="3">
        <is>
          <t>mass_O_exit_1</t>
        </is>
      </c>
      <c r="KI46" t="inlineStr" s="3">
        <is>
          <t>mole_O_exit_1</t>
        </is>
      </c>
      <c r="KJ46" t="inlineStr" s="3">
        <is>
          <t>mass_O_exit_2</t>
        </is>
      </c>
      <c r="KK46" t="inlineStr" s="3">
        <is>
          <t>mole_O_exit_2</t>
        </is>
      </c>
      <c r="KL46" t="inlineStr" s="3">
        <is>
          <t>mass_O_exit_3</t>
        </is>
      </c>
      <c r="KM46" t="inlineStr" s="3">
        <is>
          <t>mole_O_exit_3</t>
        </is>
      </c>
      <c r="KN46" t="inlineStr" s="3">
        <is>
          <t>mass_O_exit_4</t>
        </is>
      </c>
      <c r="KO46" t="inlineStr" s="3">
        <is>
          <t>mole_O_exit_4</t>
        </is>
      </c>
      <c r="KP46" t="inlineStr" s="3">
        <is>
          <t>mass_O_exit_5</t>
        </is>
      </c>
      <c r="KQ46" t="inlineStr" s="3">
        <is>
          <t>mole_O_exit_5</t>
        </is>
      </c>
      <c r="KR46" t="inlineStr" s="3">
        <is>
          <t>mass_O_exit_6</t>
        </is>
      </c>
      <c r="KS46" t="inlineStr" s="3">
        <is>
          <t>mole_O_exit_6</t>
        </is>
      </c>
      <c r="KT46" t="inlineStr" s="3">
        <is>
          <t>mass_O_exit_7</t>
        </is>
      </c>
      <c r="KU46" t="inlineStr" s="3">
        <is>
          <t>mole_O_exit_7</t>
        </is>
      </c>
      <c r="KV46" t="inlineStr" s="3">
        <is>
          <t>mass_HO2_chamber</t>
        </is>
      </c>
      <c r="KW46" t="inlineStr" s="3">
        <is>
          <t>mole_HO2_chamber</t>
        </is>
      </c>
      <c r="KX46" t="inlineStr" s="3">
        <is>
          <t>mass_HO2_throat</t>
        </is>
      </c>
      <c r="KY46" t="inlineStr" s="3">
        <is>
          <t>mole_HO2_throat</t>
        </is>
      </c>
      <c r="KZ46" t="inlineStr" s="3">
        <is>
          <t>mass_HO2_exit_1</t>
        </is>
      </c>
      <c r="LA46" t="inlineStr" s="3">
        <is>
          <t>mole_HO2_exit_1</t>
        </is>
      </c>
      <c r="LB46" t="inlineStr" s="3">
        <is>
          <t>mass_HO2_exit_2</t>
        </is>
      </c>
      <c r="LC46" t="inlineStr" s="3">
        <is>
          <t>mole_HO2_exit_2</t>
        </is>
      </c>
      <c r="LD46" t="inlineStr" s="3">
        <is>
          <t>mass_HO2_exit_3</t>
        </is>
      </c>
      <c r="LE46" t="inlineStr" s="3">
        <is>
          <t>mole_HO2_exit_3</t>
        </is>
      </c>
      <c r="LF46" t="inlineStr" s="3">
        <is>
          <t>mass_HO2_exit_4</t>
        </is>
      </c>
      <c r="LG46" t="inlineStr" s="3">
        <is>
          <t>mole_HO2_exit_4</t>
        </is>
      </c>
      <c r="LH46" t="inlineStr" s="3">
        <is>
          <t>mass_HO2_exit_5</t>
        </is>
      </c>
      <c r="LI46" t="inlineStr" s="3">
        <is>
          <t>mole_HO2_exit_5</t>
        </is>
      </c>
      <c r="LJ46" t="inlineStr" s="3">
        <is>
          <t>mass_HO2_exit_6</t>
        </is>
      </c>
      <c r="LK46" t="inlineStr" s="3">
        <is>
          <t>mole_HO2_exit_6</t>
        </is>
      </c>
      <c r="LL46" t="inlineStr" s="3">
        <is>
          <t>mass_HO2_exit_7</t>
        </is>
      </c>
      <c r="LM46" t="inlineStr" s="3">
        <is>
          <t>mole_HO2_exit_7</t>
        </is>
      </c>
      <c r="LN46" t="inlineStr" s="3">
        <is>
          <t>mass_H2O2_chamber</t>
        </is>
      </c>
      <c r="LO46" t="inlineStr" s="3">
        <is>
          <t>mole_H2O2_chamber</t>
        </is>
      </c>
      <c r="LP46" t="inlineStr" s="3">
        <is>
          <t>mass_H2O2_throat</t>
        </is>
      </c>
      <c r="LQ46" t="inlineStr" s="3">
        <is>
          <t>mole_H2O2_throat</t>
        </is>
      </c>
      <c r="LR46" t="inlineStr" s="3">
        <is>
          <t>mass_H2O2_exit_1</t>
        </is>
      </c>
      <c r="LS46" t="inlineStr" s="3">
        <is>
          <t>mole_H2O2_exit_1</t>
        </is>
      </c>
      <c r="LT46" t="inlineStr" s="3">
        <is>
          <t>mass_H2O2_exit_2</t>
        </is>
      </c>
      <c r="LU46" t="inlineStr" s="3">
        <is>
          <t>mole_H2O2_exit_2</t>
        </is>
      </c>
      <c r="LV46" t="inlineStr" s="3">
        <is>
          <t>mass_H2O2_exit_3</t>
        </is>
      </c>
      <c r="LW46" t="inlineStr" s="3">
        <is>
          <t>mole_H2O2_exit_3</t>
        </is>
      </c>
      <c r="LX46" t="inlineStr" s="3">
        <is>
          <t>mass_H2O2_exit_4</t>
        </is>
      </c>
      <c r="LY46" t="inlineStr" s="3">
        <is>
          <t>mole_H2O2_exit_4</t>
        </is>
      </c>
      <c r="LZ46" t="inlineStr" s="3">
        <is>
          <t>mass_H2O2_exit_5</t>
        </is>
      </c>
      <c r="MA46" t="inlineStr" s="3">
        <is>
          <t>mole_H2O2_exit_5</t>
        </is>
      </c>
      <c r="MB46" t="inlineStr" s="3">
        <is>
          <t>mass_H2O2_exit_6</t>
        </is>
      </c>
      <c r="MC46" t="inlineStr" s="3">
        <is>
          <t>mole_H2O2_exit_6</t>
        </is>
      </c>
      <c r="MD46" t="inlineStr" s="3">
        <is>
          <t>mass_H2O2_exit_7</t>
        </is>
      </c>
      <c r="ME46" t="inlineStr" s="3">
        <is>
          <t>mole_H2O2_exit_7</t>
        </is>
      </c>
    </row>
    <row r="47" spans="1:343" x14ac:dyDescent="0.2">
      <c r="A47" s="9">
        <v>1</v>
      </c>
      <c r="B47" s="5">
        <f>$B$16</f>
      </c>
      <c r="C47" s="5">
        <f>$B$17</f>
      </c>
      <c r="D47" t="inlineStr" s="6">
        <is>
          <t>$D$16:$D$18</t>
        </is>
      </c>
      <c r="E47" t="inlineStr" s="6">
        <is>
          <t>$E$16:$E$16</t>
        </is>
      </c>
      <c r="F47" t="inlineStr" s="6">
        <is>
          <t>$F$16:$F$18</t>
        </is>
      </c>
      <c r="G47" t="inlineStr" s="6">
        <is>
          <t>$E$11:$E$12</t>
        </is>
      </c>
      <c r="H47" s="5">
        <f>INDEX(CEA_ROCKET_IAC_SOLVE($A$10:$D$12,C47,$D$16:$D$18,$E$16:$E$16,$F$16:$F$18,B47,,,,,$E$11:$E$12,$B$18,,,,,,$A$22:$A$42,$C$22:$C$29,$B$5,$B$6,$B$7),1,1)</f>
      </c>
      <c r="I47" s="5">
        <f>INDEX(CEA_ROCKET_IAC_SOLVE($A$10:$D$12,C47,$D$16:$D$18,$E$16:$E$16,$F$16:$F$18,B47,,,,,$E$11:$E$12,$B$18,,,,,,$A$22:$A$42,$C$22:$C$29,$B$5,$B$6,$B$7),1,2)</f>
      </c>
      <c r="J47" s="5">
        <f>INDEX(CEA_ROCKET_IAC_SOLVE($A$10:$D$12,C47,$D$16:$D$18,$E$16:$E$16,$F$16:$F$18,B47,,,,,$E$11:$E$12,$B$18,,,,,,$A$22:$A$42,$C$22:$C$29,$B$5,$B$6,$B$7),1,3)</f>
      </c>
      <c r="K47" s="5">
        <f>INDEX(CEA_ROCKET_IAC_SOLVE($A$10:$D$12,C47,$D$16:$D$18,$E$16:$E$16,$F$16:$F$18,B47,,,,,$E$11:$E$12,$B$18,,,,,,$A$22:$A$42,$C$22:$C$29,$B$5,$B$6,$B$7),1,4)</f>
      </c>
      <c r="L47" s="5">
        <f>INDEX(CEA_ROCKET_IAC_SOLVE($A$10:$D$12,C47,$D$16:$D$18,$E$16:$E$16,$F$16:$F$18,B47,,,,,$E$11:$E$12,$B$18,,,,,,$A$22:$A$42,$C$22:$C$29,$B$5,$B$6,$B$7),1,5)</f>
      </c>
      <c r="M47" s="5">
        <f>INDEX(CEA_ROCKET_IAC_SOLVE($A$10:$D$12,C47,$D$16:$D$18,$E$16:$E$16,$F$16:$F$18,B47,,,,,$E$11:$E$12,$B$18,,,,,,$A$22:$A$42,$C$22:$C$29,$B$5,$B$6,$B$7),1,6)</f>
      </c>
      <c r="N47" s="5">
        <f>INDEX(CEA_ROCKET_IAC_SOLVE($A$10:$D$12,C47,$D$16:$D$18,$E$16:$E$16,$F$16:$F$18,B47,,,,,$E$11:$E$12,$B$18,,,,,,$A$22:$A$42,$C$22:$C$29,$B$5,$B$6,$B$7),1,7)</f>
      </c>
      <c r="O47" s="5">
        <f>INDEX(CEA_ROCKET_IAC_SOLVE($A$10:$D$12,C47,$D$16:$D$18,$E$16:$E$16,$F$16:$F$18,B47,,,,,$E$11:$E$12,$B$18,,,,,,$A$22:$A$42,$C$22:$C$29,$B$5,$B$6,$B$7),1,8)</f>
      </c>
      <c r="P47" s="5">
        <f>INDEX(CEA_ROCKET_IAC_SOLVE($A$10:$D$12,C47,$D$16:$D$18,$E$16:$E$16,$F$16:$F$18,B47,,,,,$E$11:$E$12,$B$18,,,,,,$A$22:$A$42,$C$22:$C$29,$B$5,$B$6,$B$7),1,9)</f>
      </c>
      <c r="Q47" s="5">
        <f>INDEX(CEA_ROCKET_IAC_SOLVE($A$10:$D$12,C47,$D$16:$D$18,$E$16:$E$16,$F$16:$F$18,B47,,,,,$E$11:$E$12,$B$18,,,,,,$A$22:$A$42,$C$22:$C$29,$B$5,$B$6,$B$7),1,10)</f>
      </c>
      <c r="R47" s="5">
        <f>INDEX(CEA_ROCKET_IAC_SOLVE($A$10:$D$12,C47,$D$16:$D$18,$E$16:$E$16,$F$16:$F$18,B47,,,,,$E$11:$E$12,$B$18,,,,,,$A$22:$A$42,$C$22:$C$29,$B$5,$B$6,$B$7),1,11)</f>
      </c>
      <c r="S47" s="5">
        <f>INDEX(CEA_ROCKET_IAC_SOLVE($A$10:$D$12,C47,$D$16:$D$18,$E$16:$E$16,$F$16:$F$18,B47,,,,,$E$11:$E$12,$B$18,,,,,,$A$22:$A$42,$C$22:$C$29,$B$5,$B$6,$B$7),1,12)</f>
      </c>
      <c r="T47" s="5">
        <f>INDEX(CEA_ROCKET_IAC_SOLVE($A$10:$D$12,C47,$D$16:$D$18,$E$16:$E$16,$F$16:$F$18,B47,,,,,$E$11:$E$12,$B$18,,,,,,$A$22:$A$42,$C$22:$C$29,$B$5,$B$6,$B$7),1,13)</f>
      </c>
      <c r="U47" s="5">
        <f>INDEX(CEA_ROCKET_IAC_SOLVE($A$10:$D$12,C47,$D$16:$D$18,$E$16:$E$16,$F$16:$F$18,B47,,,,,$E$11:$E$12,$B$18,,,,,,$A$22:$A$42,$C$22:$C$29,$B$5,$B$6,$B$7),1,14)</f>
      </c>
      <c r="V47" s="5">
        <f>INDEX(CEA_ROCKET_IAC_SOLVE($A$10:$D$12,C47,$D$16:$D$18,$E$16:$E$16,$F$16:$F$18,B47,,,,,$E$11:$E$12,$B$18,,,,,,$A$22:$A$42,$C$22:$C$29,$B$5,$B$6,$B$7),1,15)</f>
      </c>
      <c r="W47" s="5">
        <f>INDEX(CEA_ROCKET_IAC_SOLVE($A$10:$D$12,C47,$D$16:$D$18,$E$16:$E$16,$F$16:$F$18,B47,,,,,$E$11:$E$12,$B$18,,,,,,$A$22:$A$42,$C$22:$C$29,$B$5,$B$6,$B$7),1,16)</f>
      </c>
      <c r="X47" s="5">
        <f>INDEX(CEA_ROCKET_IAC_SOLVE($A$10:$D$12,C47,$D$16:$D$18,$E$16:$E$16,$F$16:$F$18,B47,,,,,$E$11:$E$12,$B$18,,,,,,$A$22:$A$42,$C$22:$C$29,$B$5,$B$6,$B$7),1,17)</f>
      </c>
      <c r="Y47" s="5">
        <f>INDEX(CEA_ROCKET_IAC_SOLVE($A$10:$D$12,C47,$D$16:$D$18,$E$16:$E$16,$F$16:$F$18,B47,,,,,$E$11:$E$12,$B$18,,,,,,$A$22:$A$42,$C$22:$C$29,$B$5,$B$6,$B$7),1,18)</f>
      </c>
      <c r="Z47" s="5">
        <f>INDEX(CEA_ROCKET_IAC_SOLVE($A$10:$D$12,C47,$D$16:$D$18,$E$16:$E$16,$F$16:$F$18,B47,,,,,$E$11:$E$12,$B$18,,,,,,$A$22:$A$42,$C$22:$C$29,$B$5,$B$6,$B$7),1,19)</f>
      </c>
      <c r="AA47" s="5">
        <f>INDEX(CEA_ROCKET_IAC_SOLVE($A$10:$D$12,C47,$D$16:$D$18,$E$16:$E$16,$F$16:$F$18,B47,,,,,$E$11:$E$12,$B$18,,,,,,$A$22:$A$42,$C$22:$C$29,$B$5,$B$6,$B$7),1,20)</f>
      </c>
      <c r="AB47" s="5">
        <f>INDEX(CEA_ROCKET_IAC_SOLVE($A$10:$D$12,C47,$D$16:$D$18,$E$16:$E$16,$F$16:$F$18,B47,,,,,$E$11:$E$12,$B$18,,,,,,$A$22:$A$42,$C$22:$C$29,$B$5,$B$6,$B$7),1,21)</f>
      </c>
      <c r="AC47" s="5">
        <f>INDEX(CEA_ROCKET_IAC_SOLVE($A$10:$D$12,C47,$D$16:$D$18,$E$16:$E$16,$F$16:$F$18,B47,,,,,$E$11:$E$12,$B$18,,,,,,$A$22:$A$42,$C$22:$C$29,$B$5,$B$6,$B$7),1,22)</f>
      </c>
      <c r="AD47" s="5">
        <f>INDEX(CEA_ROCKET_IAC_SOLVE($A$10:$D$12,C47,$D$16:$D$18,$E$16:$E$16,$F$16:$F$18,B47,,,,,$E$11:$E$12,$B$18,,,,,,$A$22:$A$42,$C$22:$C$29,$B$5,$B$6,$B$7),1,23)</f>
      </c>
      <c r="AE47" s="5">
        <f>INDEX(CEA_ROCKET_IAC_SOLVE($A$10:$D$12,C47,$D$16:$D$18,$E$16:$E$16,$F$16:$F$18,B47,,,,,$E$11:$E$12,$B$18,,,,,,$A$22:$A$42,$C$22:$C$29,$B$5,$B$6,$B$7),1,24)</f>
      </c>
      <c r="AF47" s="5">
        <f>INDEX(CEA_ROCKET_IAC_SOLVE($A$10:$D$12,C47,$D$16:$D$18,$E$16:$E$16,$F$16:$F$18,B47,,,,,$E$11:$E$12,$B$18,,,,,,$A$22:$A$42,$C$22:$C$29,$B$5,$B$6,$B$7),1,25)</f>
      </c>
      <c r="AG47" s="5">
        <f>INDEX(CEA_ROCKET_IAC_SOLVE($A$10:$D$12,C47,$D$16:$D$18,$E$16:$E$16,$F$16:$F$18,B47,,,,,$E$11:$E$12,$B$18,,,,,,$A$22:$A$42,$C$22:$C$29,$B$5,$B$6,$B$7),1,26)</f>
      </c>
      <c r="AH47" s="5">
        <f>INDEX(CEA_ROCKET_IAC_SOLVE($A$10:$D$12,C47,$D$16:$D$18,$E$16:$E$16,$F$16:$F$18,B47,,,,,$E$11:$E$12,$B$18,,,,,,$A$22:$A$42,$C$22:$C$29,$B$5,$B$6,$B$7),1,27)</f>
      </c>
      <c r="AI47" s="5">
        <f>INDEX(CEA_ROCKET_IAC_SOLVE($A$10:$D$12,C47,$D$16:$D$18,$E$16:$E$16,$F$16:$F$18,B47,,,,,$E$11:$E$12,$B$18,,,,,,$A$22:$A$42,$C$22:$C$29,$B$5,$B$6,$B$7),1,28)</f>
      </c>
      <c r="AJ47" s="5">
        <f>INDEX(CEA_ROCKET_IAC_SOLVE($A$10:$D$12,C47,$D$16:$D$18,$E$16:$E$16,$F$16:$F$18,B47,,,,,$E$11:$E$12,$B$18,,,,,,$A$22:$A$42,$C$22:$C$29,$B$5,$B$6,$B$7),1,29)</f>
      </c>
      <c r="AK47" s="5">
        <f>INDEX(CEA_ROCKET_IAC_SOLVE($A$10:$D$12,C47,$D$16:$D$18,$E$16:$E$16,$F$16:$F$18,B47,,,,,$E$11:$E$12,$B$18,,,,,,$A$22:$A$42,$C$22:$C$29,$B$5,$B$6,$B$7),1,30)</f>
      </c>
      <c r="AL47" s="5">
        <f>INDEX(CEA_ROCKET_IAC_SOLVE($A$10:$D$12,C47,$D$16:$D$18,$E$16:$E$16,$F$16:$F$18,B47,,,,,$E$11:$E$12,$B$18,,,,,,$A$22:$A$42,$C$22:$C$29,$B$5,$B$6,$B$7),1,31)</f>
      </c>
      <c r="AM47" s="5">
        <f>INDEX(CEA_ROCKET_IAC_SOLVE($A$10:$D$12,C47,$D$16:$D$18,$E$16:$E$16,$F$16:$F$18,B47,,,,,$E$11:$E$12,$B$18,,,,,,$A$22:$A$42,$C$22:$C$29,$B$5,$B$6,$B$7),1,32)</f>
      </c>
      <c r="AN47" s="5">
        <f>INDEX(CEA_ROCKET_IAC_SOLVE($A$10:$D$12,C47,$D$16:$D$18,$E$16:$E$16,$F$16:$F$18,B47,,,,,$E$11:$E$12,$B$18,,,,,,$A$22:$A$42,$C$22:$C$29,$B$5,$B$6,$B$7),1,33)</f>
      </c>
      <c r="AO47" s="5">
        <f>INDEX(CEA_ROCKET_IAC_SOLVE($A$10:$D$12,C47,$D$16:$D$18,$E$16:$E$16,$F$16:$F$18,B47,,,,,$E$11:$E$12,$B$18,,,,,,$A$22:$A$42,$C$22:$C$29,$B$5,$B$6,$B$7),1,34)</f>
      </c>
      <c r="AP47" s="5">
        <f>INDEX(CEA_ROCKET_IAC_SOLVE($A$10:$D$12,C47,$D$16:$D$18,$E$16:$E$16,$F$16:$F$18,B47,,,,,$E$11:$E$12,$B$18,,,,,,$A$22:$A$42,$C$22:$C$29,$B$5,$B$6,$B$7),1,35)</f>
      </c>
      <c r="AQ47" s="5">
        <f>INDEX(CEA_ROCKET_IAC_SOLVE($A$10:$D$12,C47,$D$16:$D$18,$E$16:$E$16,$F$16:$F$18,B47,,,,,$E$11:$E$12,$B$18,,,,,,$A$22:$A$42,$C$22:$C$29,$B$5,$B$6,$B$7),1,36)</f>
      </c>
      <c r="AR47" s="5">
        <f>INDEX(CEA_ROCKET_IAC_SOLVE($A$10:$D$12,C47,$D$16:$D$18,$E$16:$E$16,$F$16:$F$18,B47,,,,,$E$11:$E$12,$B$18,,,,,,$A$22:$A$42,$C$22:$C$29,$B$5,$B$6,$B$7),1,37)</f>
      </c>
      <c r="AS47" s="5">
        <f>INDEX(CEA_ROCKET_IAC_SOLVE($A$10:$D$12,C47,$D$16:$D$18,$E$16:$E$16,$F$16:$F$18,B47,,,,,$E$11:$E$12,$B$18,,,,,,$A$22:$A$42,$C$22:$C$29,$B$5,$B$6,$B$7),1,38)</f>
      </c>
      <c r="AT47" s="5">
        <f>INDEX(CEA_ROCKET_IAC_SOLVE($A$10:$D$12,C47,$D$16:$D$18,$E$16:$E$16,$F$16:$F$18,B47,,,,,$E$11:$E$12,$B$18,,,,,,$A$22:$A$42,$C$22:$C$29,$B$5,$B$6,$B$7),1,39)</f>
      </c>
      <c r="AU47" s="5">
        <f>INDEX(CEA_ROCKET_IAC_SOLVE($A$10:$D$12,C47,$D$16:$D$18,$E$16:$E$16,$F$16:$F$18,B47,,,,,$E$11:$E$12,$B$18,,,,,,$A$22:$A$42,$C$22:$C$29,$B$5,$B$6,$B$7),1,40)</f>
      </c>
      <c r="AV47" s="5">
        <f>INDEX(CEA_ROCKET_IAC_SOLVE($A$10:$D$12,C47,$D$16:$D$18,$E$16:$E$16,$F$16:$F$18,B47,,,,,$E$11:$E$12,$B$18,,,,,,$A$22:$A$42,$C$22:$C$29,$B$5,$B$6,$B$7),1,41)</f>
      </c>
      <c r="AW47" s="5">
        <f>INDEX(CEA_ROCKET_IAC_SOLVE($A$10:$D$12,C47,$D$16:$D$18,$E$16:$E$16,$F$16:$F$18,B47,,,,,$E$11:$E$12,$B$18,,,,,,$A$22:$A$42,$C$22:$C$29,$B$5,$B$6,$B$7),1,42)</f>
      </c>
      <c r="AX47" s="5">
        <f>INDEX(CEA_ROCKET_IAC_SOLVE($A$10:$D$12,C47,$D$16:$D$18,$E$16:$E$16,$F$16:$F$18,B47,,,,,$E$11:$E$12,$B$18,,,,,,$A$22:$A$42,$C$22:$C$29,$B$5,$B$6,$B$7),1,43)</f>
      </c>
      <c r="AY47" s="5">
        <f>INDEX(CEA_ROCKET_IAC_SOLVE($A$10:$D$12,C47,$D$16:$D$18,$E$16:$E$16,$F$16:$F$18,B47,,,,,$E$11:$E$12,$B$18,,,,,,$A$22:$A$42,$C$22:$C$29,$B$5,$B$6,$B$7),1,44)</f>
      </c>
      <c r="AZ47" s="5">
        <f>INDEX(CEA_ROCKET_IAC_SOLVE($A$10:$D$12,C47,$D$16:$D$18,$E$16:$E$16,$F$16:$F$18,B47,,,,,$E$11:$E$12,$B$18,,,,,,$A$22:$A$42,$C$22:$C$29,$B$5,$B$6,$B$7),1,45)</f>
      </c>
      <c r="BA47" s="5">
        <f>INDEX(CEA_ROCKET_IAC_SOLVE($A$10:$D$12,C47,$D$16:$D$18,$E$16:$E$16,$F$16:$F$18,B47,,,,,$E$11:$E$12,$B$18,,,,,,$A$22:$A$42,$C$22:$C$29,$B$5,$B$6,$B$7),1,46)</f>
      </c>
      <c r="BB47" s="5">
        <f>INDEX(CEA_ROCKET_IAC_SOLVE($A$10:$D$12,C47,$D$16:$D$18,$E$16:$E$16,$F$16:$F$18,B47,,,,,$E$11:$E$12,$B$18,,,,,,$A$22:$A$42,$C$22:$C$29,$B$5,$B$6,$B$7),1,47)</f>
      </c>
      <c r="BC47" s="5">
        <f>INDEX(CEA_ROCKET_IAC_SOLVE($A$10:$D$12,C47,$D$16:$D$18,$E$16:$E$16,$F$16:$F$18,B47,,,,,$E$11:$E$12,$B$18,,,,,,$A$22:$A$42,$C$22:$C$29,$B$5,$B$6,$B$7),1,48)</f>
      </c>
      <c r="BD47" s="5">
        <f>INDEX(CEA_ROCKET_IAC_SOLVE($A$10:$D$12,C47,$D$16:$D$18,$E$16:$E$16,$F$16:$F$18,B47,,,,,$E$11:$E$12,$B$18,,,,,,$A$22:$A$42,$C$22:$C$29,$B$5,$B$6,$B$7),1,49)</f>
      </c>
      <c r="BE47" s="5">
        <f>INDEX(CEA_ROCKET_IAC_SOLVE($A$10:$D$12,C47,$D$16:$D$18,$E$16:$E$16,$F$16:$F$18,B47,,,,,$E$11:$E$12,$B$18,,,,,,$A$22:$A$42,$C$22:$C$29,$B$5,$B$6,$B$7),1,50)</f>
      </c>
      <c r="BF47" s="5">
        <f>INDEX(CEA_ROCKET_IAC_SOLVE($A$10:$D$12,C47,$D$16:$D$18,$E$16:$E$16,$F$16:$F$18,B47,,,,,$E$11:$E$12,$B$18,,,,,,$A$22:$A$42,$C$22:$C$29,$B$5,$B$6,$B$7),1,51)</f>
      </c>
      <c r="BG47" s="5">
        <f>INDEX(CEA_ROCKET_IAC_SOLVE($A$10:$D$12,C47,$D$16:$D$18,$E$16:$E$16,$F$16:$F$18,B47,,,,,$E$11:$E$12,$B$18,,,,,,$A$22:$A$42,$C$22:$C$29,$B$5,$B$6,$B$7),1,52)</f>
      </c>
      <c r="BH47" s="5">
        <f>INDEX(CEA_ROCKET_IAC_SOLVE($A$10:$D$12,C47,$D$16:$D$18,$E$16:$E$16,$F$16:$F$18,B47,,,,,$E$11:$E$12,$B$18,,,,,,$A$22:$A$42,$C$22:$C$29,$B$5,$B$6,$B$7),1,53)</f>
      </c>
      <c r="BI47" s="5">
        <f>INDEX(CEA_ROCKET_IAC_SOLVE($A$10:$D$12,C47,$D$16:$D$18,$E$16:$E$16,$F$16:$F$18,B47,,,,,$E$11:$E$12,$B$18,,,,,,$A$22:$A$42,$C$22:$C$29,$B$5,$B$6,$B$7),1,54)</f>
      </c>
      <c r="BJ47" s="5">
        <f>INDEX(CEA_ROCKET_IAC_SOLVE($A$10:$D$12,C47,$D$16:$D$18,$E$16:$E$16,$F$16:$F$18,B47,,,,,$E$11:$E$12,$B$18,,,,,,$A$22:$A$42,$C$22:$C$29,$B$5,$B$6,$B$7),1,55)</f>
      </c>
      <c r="BK47" s="5">
        <f>INDEX(CEA_ROCKET_IAC_SOLVE($A$10:$D$12,C47,$D$16:$D$18,$E$16:$E$16,$F$16:$F$18,B47,,,,,$E$11:$E$12,$B$18,,,,,,$A$22:$A$42,$C$22:$C$29,$B$5,$B$6,$B$7),1,56)</f>
      </c>
      <c r="BL47" s="5">
        <f>INDEX(CEA_ROCKET_IAC_SOLVE($A$10:$D$12,C47,$D$16:$D$18,$E$16:$E$16,$F$16:$F$18,B47,,,,,$E$11:$E$12,$B$18,,,,,,$A$22:$A$42,$C$22:$C$29,$B$5,$B$6,$B$7),1,57)</f>
      </c>
      <c r="BM47" s="5">
        <f>INDEX(CEA_ROCKET_IAC_SOLVE($A$10:$D$12,C47,$D$16:$D$18,$E$16:$E$16,$F$16:$F$18,B47,,,,,$E$11:$E$12,$B$18,,,,,,$A$22:$A$42,$C$22:$C$29,$B$5,$B$6,$B$7),1,58)</f>
      </c>
      <c r="BN47" s="5">
        <f>INDEX(CEA_ROCKET_IAC_SOLVE($A$10:$D$12,C47,$D$16:$D$18,$E$16:$E$16,$F$16:$F$18,B47,,,,,$E$11:$E$12,$B$18,,,,,,$A$22:$A$42,$C$22:$C$29,$B$5,$B$6,$B$7),1,59)</f>
      </c>
      <c r="BO47" s="5">
        <f>INDEX(CEA_ROCKET_IAC_SOLVE($A$10:$D$12,C47,$D$16:$D$18,$E$16:$E$16,$F$16:$F$18,B47,,,,,$E$11:$E$12,$B$18,,,,,,$A$22:$A$42,$C$22:$C$29,$B$5,$B$6,$B$7),1,60)</f>
      </c>
      <c r="BP47" s="5">
        <f>INDEX(CEA_ROCKET_IAC_SOLVE($A$10:$D$12,C47,$D$16:$D$18,$E$16:$E$16,$F$16:$F$18,B47,,,,,$E$11:$E$12,$B$18,,,,,,$A$22:$A$42,$C$22:$C$29,$B$5,$B$6,$B$7),1,61)</f>
      </c>
      <c r="BQ47" s="5">
        <f>INDEX(CEA_ROCKET_IAC_SOLVE($A$10:$D$12,C47,$D$16:$D$18,$E$16:$E$16,$F$16:$F$18,B47,,,,,$E$11:$E$12,$B$18,,,,,,$A$22:$A$42,$C$22:$C$29,$B$5,$B$6,$B$7),1,62)</f>
      </c>
      <c r="BR47" s="5">
        <f>INDEX(CEA_ROCKET_IAC_SOLVE($A$10:$D$12,C47,$D$16:$D$18,$E$16:$E$16,$F$16:$F$18,B47,,,,,$E$11:$E$12,$B$18,,,,,,$A$22:$A$42,$C$22:$C$29,$B$5,$B$6,$B$7),1,63)</f>
      </c>
      <c r="BS47" s="5">
        <f>INDEX(CEA_ROCKET_IAC_SOLVE($A$10:$D$12,C47,$D$16:$D$18,$E$16:$E$16,$F$16:$F$18,B47,,,,,$E$11:$E$12,$B$18,,,,,,$A$22:$A$42,$C$22:$C$29,$B$5,$B$6,$B$7),1,64)</f>
      </c>
      <c r="BT47" s="5">
        <f>INDEX(CEA_ROCKET_IAC_SOLVE($A$10:$D$12,C47,$D$16:$D$18,$E$16:$E$16,$F$16:$F$18,B47,,,,,$E$11:$E$12,$B$18,,,,,,$A$22:$A$42,$C$22:$C$29,$B$5,$B$6,$B$7),1,65)</f>
      </c>
      <c r="BU47" s="5">
        <f>INDEX(CEA_ROCKET_IAC_SOLVE($A$10:$D$12,C47,$D$16:$D$18,$E$16:$E$16,$F$16:$F$18,B47,,,,,$E$11:$E$12,$B$18,,,,,,$A$22:$A$42,$C$22:$C$29,$B$5,$B$6,$B$7),1,66)</f>
      </c>
      <c r="BV47" s="5">
        <f>INDEX(CEA_ROCKET_IAC_SOLVE($A$10:$D$12,C47,$D$16:$D$18,$E$16:$E$16,$F$16:$F$18,B47,,,,,$E$11:$E$12,$B$18,,,,,,$A$22:$A$42,$C$22:$C$29,$B$5,$B$6,$B$7),1,67)</f>
      </c>
      <c r="BW47" s="5">
        <f>INDEX(CEA_ROCKET_IAC_SOLVE($A$10:$D$12,C47,$D$16:$D$18,$E$16:$E$16,$F$16:$F$18,B47,,,,,$E$11:$E$12,$B$18,,,,,,$A$22:$A$42,$C$22:$C$29,$B$5,$B$6,$B$7),1,68)</f>
      </c>
      <c r="BX47" s="5">
        <f>INDEX(CEA_ROCKET_IAC_SOLVE($A$10:$D$12,C47,$D$16:$D$18,$E$16:$E$16,$F$16:$F$18,B47,,,,,$E$11:$E$12,$B$18,,,,,,$A$22:$A$42,$C$22:$C$29,$B$5,$B$6,$B$7),1,69)</f>
      </c>
      <c r="BY47" s="5">
        <f>INDEX(CEA_ROCKET_IAC_SOLVE($A$10:$D$12,C47,$D$16:$D$18,$E$16:$E$16,$F$16:$F$18,B47,,,,,$E$11:$E$12,$B$18,,,,,,$A$22:$A$42,$C$22:$C$29,$B$5,$B$6,$B$7),1,70)</f>
      </c>
      <c r="BZ47" s="5">
        <f>INDEX(CEA_ROCKET_IAC_SOLVE($A$10:$D$12,C47,$D$16:$D$18,$E$16:$E$16,$F$16:$F$18,B47,,,,,$E$11:$E$12,$B$18,,,,,,$A$22:$A$42,$C$22:$C$29,$B$5,$B$6,$B$7),1,71)</f>
      </c>
      <c r="CA47" s="5">
        <f>INDEX(CEA_ROCKET_IAC_SOLVE($A$10:$D$12,C47,$D$16:$D$18,$E$16:$E$16,$F$16:$F$18,B47,,,,,$E$11:$E$12,$B$18,,,,,,$A$22:$A$42,$C$22:$C$29,$B$5,$B$6,$B$7),1,72)</f>
      </c>
      <c r="CB47" s="5">
        <f>INDEX(CEA_ROCKET_IAC_SOLVE($A$10:$D$12,C47,$D$16:$D$18,$E$16:$E$16,$F$16:$F$18,B47,,,,,$E$11:$E$12,$B$18,,,,,,$A$22:$A$42,$C$22:$C$29,$B$5,$B$6,$B$7),1,73)</f>
      </c>
      <c r="CC47" s="5">
        <f>INDEX(CEA_ROCKET_IAC_SOLVE($A$10:$D$12,C47,$D$16:$D$18,$E$16:$E$16,$F$16:$F$18,B47,,,,,$E$11:$E$12,$B$18,,,,,,$A$22:$A$42,$C$22:$C$29,$B$5,$B$6,$B$7),1,74)</f>
      </c>
      <c r="CD47" s="5">
        <f>INDEX(CEA_ROCKET_IAC_SOLVE($A$10:$D$12,C47,$D$16:$D$18,$E$16:$E$16,$F$16:$F$18,B47,,,,,$E$11:$E$12,$B$18,,,,,,$A$22:$A$42,$C$22:$C$29,$B$5,$B$6,$B$7),1,75)</f>
      </c>
      <c r="CE47" s="5">
        <f>INDEX(CEA_ROCKET_IAC_SOLVE($A$10:$D$12,C47,$D$16:$D$18,$E$16:$E$16,$F$16:$F$18,B47,,,,,$E$11:$E$12,$B$18,,,,,,$A$22:$A$42,$C$22:$C$29,$B$5,$B$6,$B$7),1,76)</f>
      </c>
      <c r="CF47" s="5">
        <f>INDEX(CEA_ROCKET_IAC_SOLVE($A$10:$D$12,C47,$D$16:$D$18,$E$16:$E$16,$F$16:$F$18,B47,,,,,$E$11:$E$12,$B$18,,,,,,$A$22:$A$42,$C$22:$C$29,$B$5,$B$6,$B$7),1,77)</f>
      </c>
      <c r="CG47" s="5">
        <f>INDEX(CEA_ROCKET_IAC_SOLVE($A$10:$D$12,C47,$D$16:$D$18,$E$16:$E$16,$F$16:$F$18,B47,,,,,$E$11:$E$12,$B$18,,,,,,$A$22:$A$42,$C$22:$C$29,$B$5,$B$6,$B$7),1,78)</f>
      </c>
      <c r="CH47" s="5">
        <f>INDEX(CEA_ROCKET_IAC_SOLVE($A$10:$D$12,C47,$D$16:$D$18,$E$16:$E$16,$F$16:$F$18,B47,,,,,$E$11:$E$12,$B$18,,,,,,$A$22:$A$42,$C$22:$C$29,$B$5,$B$6,$B$7),1,79)</f>
      </c>
      <c r="CI47" s="5">
        <f>INDEX(CEA_ROCKET_IAC_SOLVE($A$10:$D$12,C47,$D$16:$D$18,$E$16:$E$16,$F$16:$F$18,B47,,,,,$E$11:$E$12,$B$18,,,,,,$A$22:$A$42,$C$22:$C$29,$B$5,$B$6,$B$7),1,80)</f>
      </c>
      <c r="CJ47" s="5">
        <f>INDEX(CEA_ROCKET_IAC_SOLVE($A$10:$D$12,C47,$D$16:$D$18,$E$16:$E$16,$F$16:$F$18,B47,,,,,$E$11:$E$12,$B$18,,,,,,$A$22:$A$42,$C$22:$C$29,$B$5,$B$6,$B$7),1,81)</f>
      </c>
      <c r="CK47" s="5">
        <f>INDEX(CEA_ROCKET_IAC_SOLVE($A$10:$D$12,C47,$D$16:$D$18,$E$16:$E$16,$F$16:$F$18,B47,,,,,$E$11:$E$12,$B$18,,,,,,$A$22:$A$42,$C$22:$C$29,$B$5,$B$6,$B$7),1,82)</f>
      </c>
      <c r="CL47" s="5">
        <f>INDEX(CEA_ROCKET_IAC_SOLVE($A$10:$D$12,C47,$D$16:$D$18,$E$16:$E$16,$F$16:$F$18,B47,,,,,$E$11:$E$12,$B$18,,,,,,$A$22:$A$42,$C$22:$C$29,$B$5,$B$6,$B$7),1,83)</f>
      </c>
      <c r="CM47" s="5">
        <f>INDEX(CEA_ROCKET_IAC_SOLVE($A$10:$D$12,C47,$D$16:$D$18,$E$16:$E$16,$F$16:$F$18,B47,,,,,$E$11:$E$12,$B$18,,,,,,$A$22:$A$42,$C$22:$C$29,$B$5,$B$6,$B$7),1,84)</f>
      </c>
      <c r="CN47" s="5">
        <f>INDEX(CEA_ROCKET_IAC_SOLVE($A$10:$D$12,C47,$D$16:$D$18,$E$16:$E$16,$F$16:$F$18,B47,,,,,$E$11:$E$12,$B$18,,,,,,$A$22:$A$42,$C$22:$C$29,$B$5,$B$6,$B$7),1,85)</f>
      </c>
      <c r="CO47" s="5">
        <f>INDEX(CEA_ROCKET_IAC_SOLVE($A$10:$D$12,C47,$D$16:$D$18,$E$16:$E$16,$F$16:$F$18,B47,,,,,$E$11:$E$12,$B$18,,,,,,$A$22:$A$42,$C$22:$C$29,$B$5,$B$6,$B$7),1,86)</f>
      </c>
      <c r="CP47" s="5">
        <f>INDEX(CEA_ROCKET_IAC_SOLVE($A$10:$D$12,C47,$D$16:$D$18,$E$16:$E$16,$F$16:$F$18,B47,,,,,$E$11:$E$12,$B$18,,,,,,$A$22:$A$42,$C$22:$C$29,$B$5,$B$6,$B$7),1,87)</f>
      </c>
      <c r="CQ47" s="5">
        <f>INDEX(CEA_ROCKET_IAC_SOLVE($A$10:$D$12,C47,$D$16:$D$18,$E$16:$E$16,$F$16:$F$18,B47,,,,,$E$11:$E$12,$B$18,,,,,,$A$22:$A$42,$C$22:$C$29,$B$5,$B$6,$B$7),1,88)</f>
      </c>
      <c r="CR47" s="5">
        <f>INDEX(CEA_ROCKET_IAC_SOLVE($A$10:$D$12,C47,$D$16:$D$18,$E$16:$E$16,$F$16:$F$18,B47,,,,,$E$11:$E$12,$B$18,,,,,,$A$22:$A$42,$C$22:$C$29,$B$5,$B$6,$B$7),1,89)</f>
      </c>
      <c r="CS47" s="5">
        <f>INDEX(CEA_ROCKET_IAC_SOLVE($A$10:$D$12,C47,$D$16:$D$18,$E$16:$E$16,$F$16:$F$18,B47,,,,,$E$11:$E$12,$B$18,,,,,,$A$22:$A$42,$C$22:$C$29,$B$5,$B$6,$B$7),1,90)</f>
      </c>
      <c r="CT47" s="5">
        <f>INDEX(CEA_ROCKET_IAC_SOLVE($A$10:$D$12,C47,$D$16:$D$18,$E$16:$E$16,$F$16:$F$18,B47,,,,,$E$11:$E$12,$B$18,,,,,,$A$22:$A$42,$C$22:$C$29,$B$5,$B$6,$B$7),1,91)</f>
      </c>
      <c r="CU47" s="5">
        <f>INDEX(CEA_ROCKET_IAC_SOLVE($A$10:$D$12,C47,$D$16:$D$18,$E$16:$E$16,$F$16:$F$18,B47,,,,,$E$11:$E$12,$B$18,,,,,,$A$22:$A$42,$C$22:$C$29,$B$5,$B$6,$B$7),1,92)</f>
      </c>
      <c r="CV47" s="5">
        <f>INDEX(CEA_ROCKET_IAC_SOLVE($A$10:$D$12,C47,$D$16:$D$18,$E$16:$E$16,$F$16:$F$18,B47,,,,,$E$11:$E$12,$B$18,,,,,,$A$22:$A$42,$C$22:$C$29,$B$5,$B$6,$B$7),1,93)</f>
      </c>
      <c r="CW47" s="5">
        <f>INDEX(CEA_ROCKET_IAC_SOLVE($A$10:$D$12,C47,$D$16:$D$18,$E$16:$E$16,$F$16:$F$18,B47,,,,,$E$11:$E$12,$B$18,,,,,,$A$22:$A$42,$C$22:$C$29,$B$5,$B$6,$B$7),1,94)</f>
      </c>
      <c r="CX47" s="5">
        <f>INDEX(CEA_ROCKET_IAC_SOLVE($A$10:$D$12,C47,$D$16:$D$18,$E$16:$E$16,$F$16:$F$18,B47,,,,,$E$11:$E$12,$B$18,,,,,,$A$22:$A$42,$C$22:$C$29,$B$5,$B$6,$B$7),1,95)</f>
      </c>
      <c r="CY47" s="5">
        <f>INDEX(CEA_ROCKET_IAC_SOLVE($A$10:$D$12,C47,$D$16:$D$18,$E$16:$E$16,$F$16:$F$18,B47,,,,,$E$11:$E$12,$B$18,,,,,,$A$22:$A$42,$C$22:$C$29,$B$5,$B$6,$B$7),1,96)</f>
      </c>
      <c r="CZ47" s="5">
        <f>INDEX(CEA_ROCKET_IAC_SOLVE($A$10:$D$12,C47,$D$16:$D$18,$E$16:$E$16,$F$16:$F$18,B47,,,,,$E$11:$E$12,$B$18,,,,,,$A$22:$A$42,$C$22:$C$29,$B$5,$B$6,$B$7),1,97)</f>
      </c>
      <c r="DA47" s="5">
        <f>INDEX(CEA_ROCKET_IAC_SOLVE($A$10:$D$12,C47,$D$16:$D$18,$E$16:$E$16,$F$16:$F$18,B47,,,,,$E$11:$E$12,$B$18,,,,,,$A$22:$A$42,$C$22:$C$29,$B$5,$B$6,$B$7),1,98)</f>
      </c>
      <c r="DB47" s="5">
        <f>INDEX(CEA_ROCKET_IAC_SOLVE($A$10:$D$12,C47,$D$16:$D$18,$E$16:$E$16,$F$16:$F$18,B47,,,,,$E$11:$E$12,$B$18,,,,,,$A$22:$A$42,$C$22:$C$29,$B$5,$B$6,$B$7),1,99)</f>
      </c>
      <c r="DC47" s="5">
        <f>INDEX(CEA_ROCKET_IAC_SOLVE($A$10:$D$12,C47,$D$16:$D$18,$E$16:$E$16,$F$16:$F$18,B47,,,,,$E$11:$E$12,$B$18,,,,,,$A$22:$A$42,$C$22:$C$29,$B$5,$B$6,$B$7),1,100)</f>
      </c>
      <c r="DD47" s="5">
        <f>INDEX(CEA_ROCKET_IAC_SOLVE($A$10:$D$12,C47,$D$16:$D$18,$E$16:$E$16,$F$16:$F$18,B47,,,,,$E$11:$E$12,$B$18,,,,,,$A$22:$A$42,$C$22:$C$29,$B$5,$B$6,$B$7),1,101)</f>
      </c>
      <c r="DE47" s="5">
        <f>INDEX(CEA_ROCKET_IAC_SOLVE($A$10:$D$12,C47,$D$16:$D$18,$E$16:$E$16,$F$16:$F$18,B47,,,,,$E$11:$E$12,$B$18,,,,,,$A$22:$A$42,$C$22:$C$29,$B$5,$B$6,$B$7),1,102)</f>
      </c>
      <c r="DF47" s="5">
        <f>INDEX(CEA_ROCKET_IAC_SOLVE($A$10:$D$12,C47,$D$16:$D$18,$E$16:$E$16,$F$16:$F$18,B47,,,,,$E$11:$E$12,$B$18,,,,,,$A$22:$A$42,$C$22:$C$29,$B$5,$B$6,$B$7),1,103)</f>
      </c>
      <c r="DG47" s="5">
        <f>INDEX(CEA_ROCKET_IAC_SOLVE($A$10:$D$12,C47,$D$16:$D$18,$E$16:$E$16,$F$16:$F$18,B47,,,,,$E$11:$E$12,$B$18,,,,,,$A$22:$A$42,$C$22:$C$29,$B$5,$B$6,$B$7),1,104)</f>
      </c>
      <c r="DH47" s="5">
        <f>INDEX(CEA_ROCKET_IAC_SOLVE($A$10:$D$12,C47,$D$16:$D$18,$E$16:$E$16,$F$16:$F$18,B47,,,,,$E$11:$E$12,$B$18,,,,,,$A$22:$A$42,$C$22:$C$29,$B$5,$B$6,$B$7),1,105)</f>
      </c>
      <c r="DI47" s="5">
        <f>INDEX(CEA_ROCKET_IAC_SOLVE($A$10:$D$12,C47,$D$16:$D$18,$E$16:$E$16,$F$16:$F$18,B47,,,,,$E$11:$E$12,$B$18,,,,,,$A$22:$A$42,$C$22:$C$29,$B$5,$B$6,$B$7),1,106)</f>
      </c>
      <c r="DJ47" s="5">
        <f>INDEX(CEA_ROCKET_IAC_SOLVE($A$10:$D$12,C47,$D$16:$D$18,$E$16:$E$16,$F$16:$F$18,B47,,,,,$E$11:$E$12,$B$18,,,,,,$A$22:$A$42,$C$22:$C$29,$B$5,$B$6,$B$7),1,107)</f>
      </c>
      <c r="DK47" s="5">
        <f>INDEX(CEA_ROCKET_IAC_SOLVE($A$10:$D$12,C47,$D$16:$D$18,$E$16:$E$16,$F$16:$F$18,B47,,,,,$E$11:$E$12,$B$18,,,,,,$A$22:$A$42,$C$22:$C$29,$B$5,$B$6,$B$7),1,108)</f>
      </c>
      <c r="DL47" s="5">
        <f>INDEX(CEA_ROCKET_IAC_SOLVE($A$10:$D$12,C47,$D$16:$D$18,$E$16:$E$16,$F$16:$F$18,B47,,,,,$E$11:$E$12,$B$18,,,,,,$A$22:$A$42,$C$22:$C$29,$B$5,$B$6,$B$7),1,109)</f>
      </c>
      <c r="DM47" s="5">
        <f>INDEX(CEA_ROCKET_IAC_SOLVE($A$10:$D$12,C47,$D$16:$D$18,$E$16:$E$16,$F$16:$F$18,B47,,,,,$E$11:$E$12,$B$18,,,,,,$A$22:$A$42,$C$22:$C$29,$B$5,$B$6,$B$7),1,110)</f>
      </c>
      <c r="DN47" s="5">
        <f>INDEX(CEA_ROCKET_IAC_SOLVE($A$10:$D$12,C47,$D$16:$D$18,$E$16:$E$16,$F$16:$F$18,B47,,,,,$E$11:$E$12,$B$18,,,,,,$A$22:$A$42,$C$22:$C$29,$B$5,$B$6,$B$7),1,111)</f>
      </c>
      <c r="DO47" s="5">
        <f>INDEX(CEA_ROCKET_IAC_SOLVE($A$10:$D$12,C47,$D$16:$D$18,$E$16:$E$16,$F$16:$F$18,B47,,,,,$E$11:$E$12,$B$18,,,,,,$A$22:$A$42,$C$22:$C$29,$B$5,$B$6,$B$7),1,112)</f>
      </c>
      <c r="DP47" s="5">
        <f>INDEX(CEA_ROCKET_IAC_SOLVE($A$10:$D$12,C47,$D$16:$D$18,$E$16:$E$16,$F$16:$F$18,B47,,,,,$E$11:$E$12,$B$18,,,,,,$A$22:$A$42,$C$22:$C$29,$B$5,$B$6,$B$7),1,113)</f>
      </c>
      <c r="DQ47" s="5">
        <f>INDEX(CEA_ROCKET_IAC_SOLVE($A$10:$D$12,C47,$D$16:$D$18,$E$16:$E$16,$F$16:$F$18,B47,,,,,$E$11:$E$12,$B$18,,,,,,$A$22:$A$42,$C$22:$C$29,$B$5,$B$6,$B$7),1,114)</f>
      </c>
      <c r="DR47" s="5">
        <f>INDEX(CEA_ROCKET_IAC_SOLVE($A$10:$D$12,C47,$D$16:$D$18,$E$16:$E$16,$F$16:$F$18,B47,,,,,$E$11:$E$12,$B$18,,,,,,$A$22:$A$42,$C$22:$C$29,$B$5,$B$6,$B$7),1,115)</f>
      </c>
      <c r="DS47" s="5">
        <f>INDEX(CEA_ROCKET_IAC_SOLVE($A$10:$D$12,C47,$D$16:$D$18,$E$16:$E$16,$F$16:$F$18,B47,,,,,$E$11:$E$12,$B$18,,,,,,$A$22:$A$42,$C$22:$C$29,$B$5,$B$6,$B$7),1,116)</f>
      </c>
      <c r="DT47" s="5">
        <f>INDEX(CEA_ROCKET_IAC_SOLVE($A$10:$D$12,C47,$D$16:$D$18,$E$16:$E$16,$F$16:$F$18,B47,,,,,$E$11:$E$12,$B$18,,,,,,$A$22:$A$42,$C$22:$C$29,$B$5,$B$6,$B$7),1,117)</f>
      </c>
      <c r="DU47" s="5">
        <f>INDEX(CEA_ROCKET_IAC_SOLVE($A$10:$D$12,C47,$D$16:$D$18,$E$16:$E$16,$F$16:$F$18,B47,,,,,$E$11:$E$12,$B$18,,,,,,$A$22:$A$42,$C$22:$C$29,$B$5,$B$6,$B$7),1,118)</f>
      </c>
      <c r="DV47" s="5">
        <f>INDEX(CEA_ROCKET_IAC_SOLVE($A$10:$D$12,C47,$D$16:$D$18,$E$16:$E$16,$F$16:$F$18,B47,,,,,$E$11:$E$12,$B$18,,,,,,$A$22:$A$42,$C$22:$C$29,$B$5,$B$6,$B$7),1,119)</f>
      </c>
      <c r="DW47" s="5">
        <f>INDEX(CEA_ROCKET_IAC_SOLVE($A$10:$D$12,C47,$D$16:$D$18,$E$16:$E$16,$F$16:$F$18,B47,,,,,$E$11:$E$12,$B$18,,,,,,$A$22:$A$42,$C$22:$C$29,$B$5,$B$6,$B$7),1,120)</f>
      </c>
      <c r="DX47" s="5">
        <f>INDEX(CEA_ROCKET_IAC_SOLVE($A$10:$D$12,C47,$D$16:$D$18,$E$16:$E$16,$F$16:$F$18,B47,,,,,$E$11:$E$12,$B$18,,,,,,$A$22:$A$42,$C$22:$C$29,$B$5,$B$6,$B$7),1,121)</f>
      </c>
      <c r="DY47" s="5">
        <f>INDEX(CEA_ROCKET_IAC_SOLVE($A$10:$D$12,C47,$D$16:$D$18,$E$16:$E$16,$F$16:$F$18,B47,,,,,$E$11:$E$12,$B$18,,,,,,$A$22:$A$42,$C$22:$C$29,$B$5,$B$6,$B$7),1,122)</f>
      </c>
      <c r="DZ47" s="5">
        <f>INDEX(CEA_ROCKET_IAC_SOLVE($A$10:$D$12,C47,$D$16:$D$18,$E$16:$E$16,$F$16:$F$18,B47,,,,,$E$11:$E$12,$B$18,,,,,,$A$22:$A$42,$C$22:$C$29,$B$5,$B$6,$B$7),1,123)</f>
      </c>
      <c r="EA47" s="5">
        <f>INDEX(CEA_ROCKET_IAC_SOLVE($A$10:$D$12,C47,$D$16:$D$18,$E$16:$E$16,$F$16:$F$18,B47,,,,,$E$11:$E$12,$B$18,,,,,,$A$22:$A$42,$C$22:$C$29,$B$5,$B$6,$B$7),1,124)</f>
      </c>
      <c r="EB47" s="5">
        <f>INDEX(CEA_ROCKET_IAC_SOLVE($A$10:$D$12,C47,$D$16:$D$18,$E$16:$E$16,$F$16:$F$18,B47,,,,,$E$11:$E$12,$B$18,,,,,,$A$22:$A$42,$C$22:$C$29,$B$5,$B$6,$B$7),1,125)</f>
      </c>
      <c r="EC47" s="5">
        <f>INDEX(CEA_ROCKET_IAC_SOLVE($A$10:$D$12,C47,$D$16:$D$18,$E$16:$E$16,$F$16:$F$18,B47,,,,,$E$11:$E$12,$B$18,,,,,,$A$22:$A$42,$C$22:$C$29,$B$5,$B$6,$B$7),1,126)</f>
      </c>
      <c r="ED47" s="5">
        <f>INDEX(CEA_ROCKET_IAC_SOLVE($A$10:$D$12,C47,$D$16:$D$18,$E$16:$E$16,$F$16:$F$18,B47,,,,,$E$11:$E$12,$B$18,,,,,,$A$22:$A$42,$C$22:$C$29,$B$5,$B$6,$B$7),1,127)</f>
      </c>
      <c r="EE47" s="5">
        <f>INDEX(CEA_ROCKET_IAC_SOLVE($A$10:$D$12,C47,$D$16:$D$18,$E$16:$E$16,$F$16:$F$18,B47,,,,,$E$11:$E$12,$B$18,,,,,,$A$22:$A$42,$C$22:$C$29,$B$5,$B$6,$B$7),1,128)</f>
      </c>
      <c r="EF47" s="5">
        <f>INDEX(CEA_ROCKET_IAC_SOLVE($A$10:$D$12,C47,$D$16:$D$18,$E$16:$E$16,$F$16:$F$18,B47,,,,,$E$11:$E$12,$B$18,,,,,,$A$22:$A$42,$C$22:$C$29,$B$5,$B$6,$B$7),1,129)</f>
      </c>
      <c r="EG47" s="5">
        <f>INDEX(CEA_ROCKET_IAC_SOLVE($A$10:$D$12,C47,$D$16:$D$18,$E$16:$E$16,$F$16:$F$18,B47,,,,,$E$11:$E$12,$B$18,,,,,,$A$22:$A$42,$C$22:$C$29,$B$5,$B$6,$B$7),1,130)</f>
      </c>
      <c r="EH47" s="5">
        <f>INDEX(CEA_ROCKET_IAC_SOLVE($A$10:$D$12,C47,$D$16:$D$18,$E$16:$E$16,$F$16:$F$18,B47,,,,,$E$11:$E$12,$B$18,,,,,,$A$22:$A$42,$C$22:$C$29,$B$5,$B$6,$B$7),1,131)</f>
      </c>
      <c r="EI47" s="5">
        <f>INDEX(CEA_ROCKET_IAC_SOLVE($A$10:$D$12,C47,$D$16:$D$18,$E$16:$E$16,$F$16:$F$18,B47,,,,,$E$11:$E$12,$B$18,,,,,,$A$22:$A$42,$C$22:$C$29,$B$5,$B$6,$B$7),1,132)</f>
      </c>
      <c r="EJ47" s="5">
        <f>INDEX(CEA_ROCKET_IAC_SOLVE($A$10:$D$12,C47,$D$16:$D$18,$E$16:$E$16,$F$16:$F$18,B47,,,,,$E$11:$E$12,$B$18,,,,,,$A$22:$A$42,$C$22:$C$29,$B$5,$B$6,$B$7),1,133)</f>
      </c>
      <c r="EK47" s="5">
        <f>INDEX(CEA_ROCKET_IAC_SOLVE($A$10:$D$12,C47,$D$16:$D$18,$E$16:$E$16,$F$16:$F$18,B47,,,,,$E$11:$E$12,$B$18,,,,,,$A$22:$A$42,$C$22:$C$29,$B$5,$B$6,$B$7),1,134)</f>
      </c>
      <c r="EL47" s="5">
        <f>INDEX(CEA_ROCKET_IAC_SOLVE($A$10:$D$12,C47,$D$16:$D$18,$E$16:$E$16,$F$16:$F$18,B47,,,,,$E$11:$E$12,$B$18,,,,,,$A$22:$A$42,$C$22:$C$29,$B$5,$B$6,$B$7),1,135)</f>
      </c>
      <c r="EM47" s="5">
        <f>INDEX(CEA_ROCKET_IAC_SOLVE($A$10:$D$12,C47,$D$16:$D$18,$E$16:$E$16,$F$16:$F$18,B47,,,,,$E$11:$E$12,$B$18,,,,,,$A$22:$A$42,$C$22:$C$29,$B$5,$B$6,$B$7),1,136)</f>
      </c>
      <c r="EN47" s="5">
        <f>INDEX(CEA_ROCKET_IAC_SOLVE($A$10:$D$12,C47,$D$16:$D$18,$E$16:$E$16,$F$16:$F$18,B47,,,,,$E$11:$E$12,$B$18,,,,,,$A$22:$A$42,$C$22:$C$29,$B$5,$B$6,$B$7),1,137)</f>
      </c>
      <c r="EO47" s="5">
        <f>INDEX(CEA_ROCKET_IAC_SOLVE($A$10:$D$12,C47,$D$16:$D$18,$E$16:$E$16,$F$16:$F$18,B47,,,,,$E$11:$E$12,$B$18,,,,,,$A$22:$A$42,$C$22:$C$29,$B$5,$B$6,$B$7),1,138)</f>
      </c>
      <c r="EP47" s="5">
        <f>INDEX(CEA_ROCKET_IAC_SOLVE($A$10:$D$12,C47,$D$16:$D$18,$E$16:$E$16,$F$16:$F$18,B47,,,,,$E$11:$E$12,$B$18,,,,,,$A$22:$A$42,$C$22:$C$29,$B$5,$B$6,$B$7),1,139)</f>
      </c>
      <c r="EQ47" s="5">
        <f>INDEX(CEA_ROCKET_IAC_SOLVE($A$10:$D$12,C47,$D$16:$D$18,$E$16:$E$16,$F$16:$F$18,B47,,,,,$E$11:$E$12,$B$18,,,,,,$A$22:$A$42,$C$22:$C$29,$B$5,$B$6,$B$7),1,140)</f>
      </c>
      <c r="ER47" s="5">
        <f>INDEX(CEA_ROCKET_IAC_SOLVE($A$10:$D$12,C47,$D$16:$D$18,$E$16:$E$16,$F$16:$F$18,B47,,,,,$E$11:$E$12,$B$18,,,,,,$A$22:$A$42,$C$22:$C$29,$B$5,$B$6,$B$7),1,141)</f>
      </c>
      <c r="ES47" s="5">
        <f>INDEX(CEA_ROCKET_IAC_SOLVE($A$10:$D$12,C47,$D$16:$D$18,$E$16:$E$16,$F$16:$F$18,B47,,,,,$E$11:$E$12,$B$18,,,,,,$A$22:$A$42,$C$22:$C$29,$B$5,$B$6,$B$7),1,142)</f>
      </c>
      <c r="ET47" s="5">
        <f>INDEX(CEA_ROCKET_IAC_SOLVE($A$10:$D$12,C47,$D$16:$D$18,$E$16:$E$16,$F$16:$F$18,B47,,,,,$E$11:$E$12,$B$18,,,,,,$A$22:$A$42,$C$22:$C$29,$B$5,$B$6,$B$7),1,143)</f>
      </c>
      <c r="EU47" s="5">
        <f>INDEX(CEA_ROCKET_IAC_SOLVE($A$10:$D$12,C47,$D$16:$D$18,$E$16:$E$16,$F$16:$F$18,B47,,,,,$E$11:$E$12,$B$18,,,,,,$A$22:$A$42,$C$22:$C$29,$B$5,$B$6,$B$7),1,144)</f>
      </c>
      <c r="EV47" s="5">
        <f>INDEX(CEA_ROCKET_IAC_SOLVE($A$10:$D$12,C47,$D$16:$D$18,$E$16:$E$16,$F$16:$F$18,B47,,,,,$E$11:$E$12,$B$18,,,,,,$A$22:$A$42,$C$22:$C$29,$B$5,$B$6,$B$7),1,145)</f>
      </c>
      <c r="EW47" s="5">
        <f>INDEX(CEA_ROCKET_IAC_SOLVE($A$10:$D$12,C47,$D$16:$D$18,$E$16:$E$16,$F$16:$F$18,B47,,,,,$E$11:$E$12,$B$18,,,,,,$A$22:$A$42,$C$22:$C$29,$B$5,$B$6,$B$7),1,146)</f>
      </c>
      <c r="EX47" s="5">
        <f>INDEX(CEA_ROCKET_IAC_SOLVE($A$10:$D$12,C47,$D$16:$D$18,$E$16:$E$16,$F$16:$F$18,B47,,,,,$E$11:$E$12,$B$18,,,,,,$A$22:$A$42,$C$22:$C$29,$B$5,$B$6,$B$7),1,147)</f>
      </c>
      <c r="EY47" s="5">
        <f>INDEX(CEA_ROCKET_IAC_SOLVE($A$10:$D$12,C47,$D$16:$D$18,$E$16:$E$16,$F$16:$F$18,B47,,,,,$E$11:$E$12,$B$18,,,,,,$A$22:$A$42,$C$22:$C$29,$B$5,$B$6,$B$7),1,148)</f>
      </c>
      <c r="EZ47" s="5">
        <f>INDEX(CEA_ROCKET_IAC_SOLVE($A$10:$D$12,C47,$D$16:$D$18,$E$16:$E$16,$F$16:$F$18,B47,,,,,$E$11:$E$12,$B$18,,,,,,$A$22:$A$42,$C$22:$C$29,$B$5,$B$6,$B$7),1,149)</f>
      </c>
      <c r="FA47" s="5">
        <f>INDEX(CEA_ROCKET_IAC_SOLVE($A$10:$D$12,C47,$D$16:$D$18,$E$16:$E$16,$F$16:$F$18,B47,,,,,$E$11:$E$12,$B$18,,,,,,$A$22:$A$42,$C$22:$C$29,$B$5,$B$6,$B$7),1,150)</f>
      </c>
      <c r="FB47" s="5">
        <f>INDEX(CEA_ROCKET_IAC_SOLVE($A$10:$D$12,C47,$D$16:$D$18,$E$16:$E$16,$F$16:$F$18,B47,,,,,$E$11:$E$12,$B$18,,,,,,$A$22:$A$42,$C$22:$C$29,$B$5,$B$6,$B$7),1,151)</f>
      </c>
      <c r="FC47" s="5">
        <f>INDEX(CEA_ROCKET_IAC_SOLVE($A$10:$D$12,C47,$D$16:$D$18,$E$16:$E$16,$F$16:$F$18,B47,,,,,$E$11:$E$12,$B$18,,,,,,$A$22:$A$42,$C$22:$C$29,$B$5,$B$6,$B$7),1,152)</f>
      </c>
      <c r="FD47" s="5">
        <f>INDEX(CEA_ROCKET_IAC_SOLVE($A$10:$D$12,C47,$D$16:$D$18,$E$16:$E$16,$F$16:$F$18,B47,,,,,$E$11:$E$12,$B$18,,,,,,$A$22:$A$42,$C$22:$C$29,$B$5,$B$6,$B$7),1,153)</f>
      </c>
      <c r="FE47" s="5">
        <f>INDEX(CEA_ROCKET_IAC_SOLVE($A$10:$D$12,C47,$D$16:$D$18,$E$16:$E$16,$F$16:$F$18,B47,,,,,$E$11:$E$12,$B$18,,,,,,$A$22:$A$42,$C$22:$C$29,$B$5,$B$6,$B$7),1,154)</f>
      </c>
      <c r="FF47" s="5">
        <f>INDEX(CEA_ROCKET_IAC_SOLVE($A$10:$D$12,C47,$D$16:$D$18,$E$16:$E$16,$F$16:$F$18,B47,,,,,$E$11:$E$12,$B$18,,,,,,$A$22:$A$42,$C$22:$C$29,$B$5,$B$6,$B$7),1,155)</f>
      </c>
      <c r="FG47" s="5">
        <f>INDEX(CEA_ROCKET_IAC_SOLVE($A$10:$D$12,C47,$D$16:$D$18,$E$16:$E$16,$F$16:$F$18,B47,,,,,$E$11:$E$12,$B$18,,,,,,$A$22:$A$42,$C$22:$C$29,$B$5,$B$6,$B$7),1,156)</f>
      </c>
      <c r="FH47" s="5">
        <f>INDEX(CEA_ROCKET_IAC_SOLVE($A$10:$D$12,C47,$D$16:$D$18,$E$16:$E$16,$F$16:$F$18,B47,,,,,$E$11:$E$12,$B$18,,,,,,$A$22:$A$42,$C$22:$C$29,$B$5,$B$6,$B$7),1,157)</f>
      </c>
      <c r="FI47" s="5">
        <f>INDEX(CEA_ROCKET_IAC_SOLVE($A$10:$D$12,C47,$D$16:$D$18,$E$16:$E$16,$F$16:$F$18,B47,,,,,$E$11:$E$12,$B$18,,,,,,$A$22:$A$42,$C$22:$C$29,$B$5,$B$6,$B$7),1,158)</f>
      </c>
      <c r="FJ47" s="5">
        <f>INDEX(CEA_ROCKET_IAC_SOLVE($A$10:$D$12,C47,$D$16:$D$18,$E$16:$E$16,$F$16:$F$18,B47,,,,,$E$11:$E$12,$B$18,,,,,,$A$22:$A$42,$C$22:$C$29,$B$5,$B$6,$B$7),1,159)</f>
      </c>
      <c r="FK47" s="5">
        <f>INDEX(CEA_ROCKET_IAC_SOLVE($A$10:$D$12,C47,$D$16:$D$18,$E$16:$E$16,$F$16:$F$18,B47,,,,,$E$11:$E$12,$B$18,,,,,,$A$22:$A$42,$C$22:$C$29,$B$5,$B$6,$B$7),1,160)</f>
      </c>
      <c r="FL47" s="5">
        <f>INDEX(CEA_ROCKET_IAC_SOLVE($A$10:$D$12,C47,$D$16:$D$18,$E$16:$E$16,$F$16:$F$18,B47,,,,,$E$11:$E$12,$B$18,,,,,,$A$22:$A$42,$C$22:$C$29,$B$5,$B$6,$B$7),1,161)</f>
      </c>
      <c r="FM47" s="5">
        <f>INDEX(CEA_ROCKET_IAC_SOLVE($A$10:$D$12,C47,$D$16:$D$18,$E$16:$E$16,$F$16:$F$18,B47,,,,,$E$11:$E$12,$B$18,,,,,,$A$22:$A$42,$C$22:$C$29,$B$5,$B$6,$B$7),1,162)</f>
      </c>
      <c r="FN47" s="5">
        <f>INDEX(CEA_ROCKET_IAC_SOLVE($A$10:$D$12,C47,$D$16:$D$18,$E$16:$E$16,$F$16:$F$18,B47,,,,,$E$11:$E$12,$B$18,,,,,,$A$22:$A$42,$C$22:$C$29,$B$5,$B$6,$B$7),1,163)</f>
      </c>
      <c r="FO47" s="5">
        <f>INDEX(CEA_ROCKET_IAC_SOLVE($A$10:$D$12,C47,$D$16:$D$18,$E$16:$E$16,$F$16:$F$18,B47,,,,,$E$11:$E$12,$B$18,,,,,,$A$22:$A$42,$C$22:$C$29,$B$5,$B$6,$B$7),1,164)</f>
      </c>
      <c r="FP47" s="5">
        <f>INDEX(CEA_ROCKET_IAC_SOLVE($A$10:$D$12,C47,$D$16:$D$18,$E$16:$E$16,$F$16:$F$18,B47,,,,,$E$11:$E$12,$B$18,,,,,,$A$22:$A$42,$C$22:$C$29,$B$5,$B$6,$B$7),1,165)</f>
      </c>
      <c r="FQ47" s="5">
        <f>INDEX(CEA_ROCKET_IAC_SOLVE($A$10:$D$12,C47,$D$16:$D$18,$E$16:$E$16,$F$16:$F$18,B47,,,,,$E$11:$E$12,$B$18,,,,,,$A$22:$A$42,$C$22:$C$29,$B$5,$B$6,$B$7),1,166)</f>
      </c>
      <c r="FR47" s="5">
        <f>INDEX(CEA_ROCKET_IAC_SOLVE($A$10:$D$12,C47,$D$16:$D$18,$E$16:$E$16,$F$16:$F$18,B47,,,,,$E$11:$E$12,$B$18,,,,,,$A$22:$A$42,$C$22:$C$29,$B$5,$B$6,$B$7),1,167)</f>
      </c>
      <c r="FS47" s="5">
        <f>INDEX(CEA_ROCKET_IAC_SOLVE($A$10:$D$12,C47,$D$16:$D$18,$E$16:$E$16,$F$16:$F$18,B47,,,,,$E$11:$E$12,$B$18,,,,,,$A$22:$A$42,$C$22:$C$29,$B$5,$B$6,$B$7),1,168)</f>
      </c>
      <c r="FT47" s="5">
        <f>INDEX(CEA_ROCKET_IAC_SOLVE($A$10:$D$12,C47,$D$16:$D$18,$E$16:$E$16,$F$16:$F$18,B47,,,,,$E$11:$E$12,$B$18,,,,,,$A$22:$A$42,$C$22:$C$29,$B$5,$B$6,$B$7),1,169)</f>
      </c>
      <c r="FU47" s="5">
        <f>INDEX(CEA_ROCKET_IAC_SOLVE($A$10:$D$12,C47,$D$16:$D$18,$E$16:$E$16,$F$16:$F$18,B47,,,,,$E$11:$E$12,$B$18,,,,,,$A$22:$A$42,$C$22:$C$29,$B$5,$B$6,$B$7),1,170)</f>
      </c>
      <c r="FV47" s="5">
        <f>INDEX(CEA_ROCKET_IAC_SOLVE($A$10:$D$12,C47,$D$16:$D$18,$E$16:$E$16,$F$16:$F$18,B47,,,,,$E$11:$E$12,$B$18,,,,,,$A$22:$A$42,$C$22:$C$29,$B$5,$B$6,$B$7),1,171)</f>
      </c>
      <c r="FW47" s="5">
        <f>INDEX(CEA_ROCKET_IAC_SOLVE($A$10:$D$12,C47,$D$16:$D$18,$E$16:$E$16,$F$16:$F$18,B47,,,,,$E$11:$E$12,$B$18,,,,,,$A$22:$A$42,$C$22:$C$29,$B$5,$B$6,$B$7),1,172)</f>
      </c>
      <c r="FX47" s="5">
        <f>INDEX(CEA_ROCKET_IAC_SOLVE($A$10:$D$12,C47,$D$16:$D$18,$E$16:$E$16,$F$16:$F$18,B47,,,,,$E$11:$E$12,$B$18,,,,,,$A$22:$A$42,$C$22:$C$29,$B$5,$B$6,$B$7),1,173)</f>
      </c>
      <c r="FY47" s="5">
        <f>INDEX(CEA_ROCKET_IAC_SOLVE($A$10:$D$12,C47,$D$16:$D$18,$E$16:$E$16,$F$16:$F$18,B47,,,,,$E$11:$E$12,$B$18,,,,,,$A$22:$A$42,$C$22:$C$29,$B$5,$B$6,$B$7),1,174)</f>
      </c>
      <c r="FZ47" s="5">
        <f>INDEX(CEA_ROCKET_IAC_SOLVE($A$10:$D$12,C47,$D$16:$D$18,$E$16:$E$16,$F$16:$F$18,B47,,,,,$E$11:$E$12,$B$18,,,,,,$A$22:$A$42,$C$22:$C$29,$B$5,$B$6,$B$7),1,175)</f>
      </c>
      <c r="GA47" s="5">
        <f>INDEX(CEA_ROCKET_IAC_SOLVE($A$10:$D$12,C47,$D$16:$D$18,$E$16:$E$16,$F$16:$F$18,B47,,,,,$E$11:$E$12,$B$18,,,,,,$A$22:$A$42,$C$22:$C$29,$B$5,$B$6,$B$7),1,176)</f>
      </c>
      <c r="GB47" s="5">
        <f>INDEX(CEA_ROCKET_IAC_SOLVE($A$10:$D$12,C47,$D$16:$D$18,$E$16:$E$16,$F$16:$F$18,B47,,,,,$E$11:$E$12,$B$18,,,,,,$A$22:$A$42,$C$22:$C$29,$B$5,$B$6,$B$7),1,177)</f>
      </c>
      <c r="GC47" s="5">
        <f>INDEX(CEA_ROCKET_IAC_SOLVE($A$10:$D$12,C47,$D$16:$D$18,$E$16:$E$16,$F$16:$F$18,B47,,,,,$E$11:$E$12,$B$18,,,,,,$A$22:$A$42,$C$22:$C$29,$B$5,$B$6,$B$7),1,178)</f>
      </c>
      <c r="GD47" s="5">
        <f>INDEX(CEA_ROCKET_IAC_SOLVE($A$10:$D$12,C47,$D$16:$D$18,$E$16:$E$16,$F$16:$F$18,B47,,,,,$E$11:$E$12,$B$18,,,,,,$A$22:$A$42,$C$22:$C$29,$B$5,$B$6,$B$7),1,179)</f>
      </c>
      <c r="GE47" s="5">
        <f>INDEX(CEA_ROCKET_IAC_SOLVE($A$10:$D$12,C47,$D$16:$D$18,$E$16:$E$16,$F$16:$F$18,B47,,,,,$E$11:$E$12,$B$18,,,,,,$A$22:$A$42,$C$22:$C$29,$B$5,$B$6,$B$7),1,180)</f>
      </c>
      <c r="GF47" s="5">
        <f>INDEX(CEA_ROCKET_IAC_SOLVE($A$10:$D$12,C47,$D$16:$D$18,$E$16:$E$16,$F$16:$F$18,B47,,,,,$E$11:$E$12,$B$18,,,,,,$A$22:$A$42,$C$22:$C$29,$B$5,$B$6,$B$7),1,181)</f>
      </c>
      <c r="GG47" s="5">
        <f>INDEX(CEA_ROCKET_IAC_SOLVE($A$10:$D$12,C47,$D$16:$D$18,$E$16:$E$16,$F$16:$F$18,B47,,,,,$E$11:$E$12,$B$18,,,,,,$A$22:$A$42,$C$22:$C$29,$B$5,$B$6,$B$7),1,182)</f>
      </c>
      <c r="GH47" s="5">
        <f>INDEX(CEA_ROCKET_IAC_SOLVE($A$10:$D$12,C47,$D$16:$D$18,$E$16:$E$16,$F$16:$F$18,B47,,,,,$E$11:$E$12,$B$18,,,,,,$A$22:$A$42,$C$22:$C$29,$B$5,$B$6,$B$7),1,183)</f>
      </c>
      <c r="GI47" s="5">
        <f>INDEX(CEA_ROCKET_IAC_SOLVE($A$10:$D$12,C47,$D$16:$D$18,$E$16:$E$16,$F$16:$F$18,B47,,,,,$E$11:$E$12,$B$18,,,,,,$A$22:$A$42,$C$22:$C$29,$B$5,$B$6,$B$7),1,184)</f>
      </c>
      <c r="GJ47" s="5">
        <f>INDEX(CEA_ROCKET_IAC_SOLVE($A$10:$D$12,C47,$D$16:$D$18,$E$16:$E$16,$F$16:$F$18,B47,,,,,$E$11:$E$12,$B$18,,,,,,$A$22:$A$42,$C$22:$C$29,$B$5,$B$6,$B$7),1,185)</f>
      </c>
      <c r="GK47" s="5">
        <f>INDEX(CEA_ROCKET_IAC_SOLVE($A$10:$D$12,C47,$D$16:$D$18,$E$16:$E$16,$F$16:$F$18,B47,,,,,$E$11:$E$12,$B$18,,,,,,$A$22:$A$42,$C$22:$C$29,$B$5,$B$6,$B$7),1,186)</f>
      </c>
      <c r="GL47" s="5">
        <f>INDEX(CEA_ROCKET_IAC_SOLVE($A$10:$D$12,C47,$D$16:$D$18,$E$16:$E$16,$F$16:$F$18,B47,,,,,$E$11:$E$12,$B$18,,,,,,$A$22:$A$42,$C$22:$C$29,$B$5,$B$6,$B$7),1,187)</f>
      </c>
      <c r="GM47" s="5">
        <f>INDEX(CEA_ROCKET_IAC_SOLVE($A$10:$D$12,C47,$D$16:$D$18,$E$16:$E$16,$F$16:$F$18,B47,,,,,$E$11:$E$12,$B$18,,,,,,$A$22:$A$42,$C$22:$C$29,$B$5,$B$6,$B$7),1,188)</f>
      </c>
      <c r="GN47" s="5">
        <f>INDEX(CEA_ROCKET_IAC_SOLVE($A$10:$D$12,C47,$D$16:$D$18,$E$16:$E$16,$F$16:$F$18,B47,,,,,$E$11:$E$12,$B$18,,,,,,$A$22:$A$42,$C$22:$C$29,$B$5,$B$6,$B$7),1,189)</f>
      </c>
      <c r="GO47" s="5">
        <f>INDEX(CEA_ROCKET_IAC_SOLVE($A$10:$D$12,C47,$D$16:$D$18,$E$16:$E$16,$F$16:$F$18,B47,,,,,$E$11:$E$12,$B$18,,,,,,$A$22:$A$42,$C$22:$C$29,$B$5,$B$6,$B$7),1,190)</f>
      </c>
      <c r="GP47" s="5">
        <f>INDEX(CEA_ROCKET_IAC_SOLVE($A$10:$D$12,C47,$D$16:$D$18,$E$16:$E$16,$F$16:$F$18,B47,,,,,$E$11:$E$12,$B$18,,,,,,$A$22:$A$42,$C$22:$C$29,$B$5,$B$6,$B$7),1,191)</f>
      </c>
      <c r="GQ47" s="5">
        <f>INDEX(CEA_ROCKET_IAC_SOLVE($A$10:$D$12,C47,$D$16:$D$18,$E$16:$E$16,$F$16:$F$18,B47,,,,,$E$11:$E$12,$B$18,,,,,,$A$22:$A$42,$C$22:$C$29,$B$5,$B$6,$B$7),1,192)</f>
      </c>
      <c r="GR47" s="5">
        <f>INDEX(CEA_ROCKET_IAC_SOLVE($A$10:$D$12,C47,$D$16:$D$18,$E$16:$E$16,$F$16:$F$18,B47,,,,,$E$11:$E$12,$B$18,,,,,,$A$22:$A$42,$C$22:$C$29,$B$5,$B$6,$B$7),1,193)</f>
      </c>
      <c r="GS47" s="5">
        <f>INDEX(CEA_ROCKET_IAC_SOLVE($A$10:$D$12,C47,$D$16:$D$18,$E$16:$E$16,$F$16:$F$18,B47,,,,,$E$11:$E$12,$B$18,,,,,,$A$22:$A$42,$C$22:$C$29,$B$5,$B$6,$B$7),1,194)</f>
      </c>
      <c r="GT47" s="5">
        <f>INDEX(CEA_ROCKET_IAC_SOLVE($A$10:$D$12,C47,$D$16:$D$18,$E$16:$E$16,$F$16:$F$18,B47,,,,,$E$11:$E$12,$B$18,,,,,,$A$22:$A$42,$C$22:$C$29,$B$5,$B$6,$B$7),1,195)</f>
      </c>
      <c r="GU47" s="5">
        <f>INDEX(CEA_ROCKET_IAC_SOLVE($A$10:$D$12,C47,$D$16:$D$18,$E$16:$E$16,$F$16:$F$18,B47,,,,,$E$11:$E$12,$B$18,,,,,,$A$22:$A$42,$C$22:$C$29,$B$5,$B$6,$B$7),1,196)</f>
      </c>
      <c r="GV47" s="5">
        <f>INDEX(CEA_ROCKET_IAC_SOLVE($A$10:$D$12,C47,$D$16:$D$18,$E$16:$E$16,$F$16:$F$18,B47,,,,,$E$11:$E$12,$B$18,,,,,,$A$22:$A$42,$C$22:$C$29,$B$5,$B$6,$B$7),1,197)</f>
      </c>
      <c r="GW47" s="5">
        <f>INDEX(CEA_ROCKET_IAC_SOLVE($A$10:$D$12,C47,$D$16:$D$18,$E$16:$E$16,$F$16:$F$18,B47,,,,,$E$11:$E$12,$B$18,,,,,,$A$22:$A$42,$C$22:$C$29,$B$5,$B$6,$B$7),1,198)</f>
      </c>
      <c r="GX47" s="5">
        <f>INDEX(CEA_ROCKET_IAC_SOLVE($A$10:$D$12,C47,$D$16:$D$18,$E$16:$E$16,$F$16:$F$18,B47,,,,,$E$11:$E$12,$B$18,,,,,,$A$22:$A$42,$C$22:$C$29,$B$5,$B$6,$B$7),1,199)</f>
      </c>
      <c r="GY47" s="5">
        <f>INDEX(CEA_ROCKET_IAC_SOLVE($A$10:$D$12,C47,$D$16:$D$18,$E$16:$E$16,$F$16:$F$18,B47,,,,,$E$11:$E$12,$B$18,,,,,,$A$22:$A$42,$C$22:$C$29,$B$5,$B$6,$B$7),1,200)</f>
      </c>
      <c r="GZ47" s="5">
        <f>INDEX(CEA_ROCKET_IAC_SOLVE($A$10:$D$12,C47,$D$16:$D$18,$E$16:$E$16,$F$16:$F$18,B47,,,,,$E$11:$E$12,$B$18,,,,,,$A$22:$A$42,$C$22:$C$29,$B$5,$B$6,$B$7),1,201)</f>
      </c>
      <c r="HA47" s="5">
        <f>INDEX(CEA_ROCKET_IAC_SOLVE($A$10:$D$12,C47,$D$16:$D$18,$E$16:$E$16,$F$16:$F$18,B47,,,,,$E$11:$E$12,$B$18,,,,,,$A$22:$A$42,$C$22:$C$29,$B$5,$B$6,$B$7),1,202)</f>
      </c>
      <c r="HB47" s="5">
        <f>INDEX(CEA_ROCKET_IAC_SOLVE($A$10:$D$12,C47,$D$16:$D$18,$E$16:$E$16,$F$16:$F$18,B47,,,,,$E$11:$E$12,$B$18,,,,,,$A$22:$A$42,$C$22:$C$29,$B$5,$B$6,$B$7),1,203)</f>
      </c>
      <c r="HC47" s="5">
        <f>INDEX(CEA_ROCKET_IAC_SOLVE($A$10:$D$12,C47,$D$16:$D$18,$E$16:$E$16,$F$16:$F$18,B47,,,,,$E$11:$E$12,$B$18,,,,,,$A$22:$A$42,$C$22:$C$29,$B$5,$B$6,$B$7),1,204)</f>
      </c>
      <c r="HD47" s="5">
        <f>INDEX(CEA_ROCKET_IAC_SOLVE($A$10:$D$12,C47,$D$16:$D$18,$E$16:$E$16,$F$16:$F$18,B47,,,,,$E$11:$E$12,$B$18,,,,,,$A$22:$A$42,$C$22:$C$29,$B$5,$B$6,$B$7),1,205)</f>
      </c>
      <c r="HE47" s="5">
        <f>INDEX(CEA_ROCKET_IAC_SOLVE($A$10:$D$12,C47,$D$16:$D$18,$E$16:$E$16,$F$16:$F$18,B47,,,,,$E$11:$E$12,$B$18,,,,,,$A$22:$A$42,$C$22:$C$29,$B$5,$B$6,$B$7),1,206)</f>
      </c>
      <c r="HF47" s="5">
        <f>INDEX(CEA_ROCKET_IAC_SOLVE($A$10:$D$12,C47,$D$16:$D$18,$E$16:$E$16,$F$16:$F$18,B47,,,,,$E$11:$E$12,$B$18,,,,,,$A$22:$A$42,$C$22:$C$29,$B$5,$B$6,$B$7),1,207)</f>
      </c>
      <c r="HG47" s="5">
        <f>INDEX(CEA_ROCKET_IAC_SOLVE($A$10:$D$12,C47,$D$16:$D$18,$E$16:$E$16,$F$16:$F$18,B47,,,,,$E$11:$E$12,$B$18,,,,,,$A$22:$A$42,$C$22:$C$29,$B$5,$B$6,$B$7),1,208)</f>
      </c>
      <c r="HH47" s="5">
        <f>INDEX(CEA_ROCKET_IAC_SOLVE($A$10:$D$12,C47,$D$16:$D$18,$E$16:$E$16,$F$16:$F$18,B47,,,,,$E$11:$E$12,$B$18,,,,,,$A$22:$A$42,$C$22:$C$29,$B$5,$B$6,$B$7),1,209)</f>
      </c>
      <c r="HI47" s="5">
        <f>INDEX(CEA_ROCKET_IAC_SOLVE($A$10:$D$12,C47,$D$16:$D$18,$E$16:$E$16,$F$16:$F$18,B47,,,,,$E$11:$E$12,$B$18,,,,,,$A$22:$A$42,$C$22:$C$29,$B$5,$B$6,$B$7),1,210)</f>
      </c>
      <c r="HJ47" s="5">
        <f>INDEX(CEA_ROCKET_IAC_SOLVE($A$10:$D$12,C47,$D$16:$D$18,$E$16:$E$16,$F$16:$F$18,B47,,,,,$E$11:$E$12,$B$18,,,,,,$A$22:$A$42,$C$22:$C$29,$B$5,$B$6,$B$7),1,211)</f>
      </c>
      <c r="HK47" s="5">
        <f>INDEX(CEA_ROCKET_IAC_SOLVE($A$10:$D$12,C47,$D$16:$D$18,$E$16:$E$16,$F$16:$F$18,B47,,,,,$E$11:$E$12,$B$18,,,,,,$A$22:$A$42,$C$22:$C$29,$B$5,$B$6,$B$7),1,212)</f>
      </c>
      <c r="HL47" s="5">
        <f>INDEX(CEA_ROCKET_IAC_SOLVE($A$10:$D$12,C47,$D$16:$D$18,$E$16:$E$16,$F$16:$F$18,B47,,,,,$E$11:$E$12,$B$18,,,,,,$A$22:$A$42,$C$22:$C$29,$B$5,$B$6,$B$7),1,213)</f>
      </c>
      <c r="HM47" s="5">
        <f>INDEX(CEA_ROCKET_IAC_SOLVE($A$10:$D$12,C47,$D$16:$D$18,$E$16:$E$16,$F$16:$F$18,B47,,,,,$E$11:$E$12,$B$18,,,,,,$A$22:$A$42,$C$22:$C$29,$B$5,$B$6,$B$7),1,214)</f>
      </c>
      <c r="HN47" s="5">
        <f>INDEX(CEA_ROCKET_IAC_SOLVE($A$10:$D$12,C47,$D$16:$D$18,$E$16:$E$16,$F$16:$F$18,B47,,,,,$E$11:$E$12,$B$18,,,,,,$A$22:$A$42,$C$22:$C$29,$B$5,$B$6,$B$7),1,215)</f>
      </c>
      <c r="HO47" s="5">
        <f>INDEX(CEA_ROCKET_IAC_SOLVE($A$10:$D$12,C47,$D$16:$D$18,$E$16:$E$16,$F$16:$F$18,B47,,,,,$E$11:$E$12,$B$18,,,,,,$A$22:$A$42,$C$22:$C$29,$B$5,$B$6,$B$7),1,216)</f>
      </c>
      <c r="HP47" s="5">
        <f>INDEX(CEA_ROCKET_IAC_SOLVE($A$10:$D$12,C47,$D$16:$D$18,$E$16:$E$16,$F$16:$F$18,B47,,,,,$E$11:$E$12,$B$18,,,,,,$A$22:$A$42,$C$22:$C$29,$B$5,$B$6,$B$7),1,217)</f>
      </c>
      <c r="HQ47" s="5">
        <f>INDEX(CEA_ROCKET_IAC_SOLVE($A$10:$D$12,C47,$D$16:$D$18,$E$16:$E$16,$F$16:$F$18,B47,,,,,$E$11:$E$12,$B$18,,,,,,$A$22:$A$42,$C$22:$C$29,$B$5,$B$6,$B$7),1,218)</f>
      </c>
      <c r="HR47" s="5">
        <f>INDEX(CEA_ROCKET_IAC_SOLVE($A$10:$D$12,C47,$D$16:$D$18,$E$16:$E$16,$F$16:$F$18,B47,,,,,$E$11:$E$12,$B$18,,,,,,$A$22:$A$42,$C$22:$C$29,$B$5,$B$6,$B$7),1,219)</f>
      </c>
      <c r="HS47" s="5">
        <f>INDEX(CEA_ROCKET_IAC_SOLVE($A$10:$D$12,C47,$D$16:$D$18,$E$16:$E$16,$F$16:$F$18,B47,,,,,$E$11:$E$12,$B$18,,,,,,$A$22:$A$42,$C$22:$C$29,$B$5,$B$6,$B$7),1,220)</f>
      </c>
      <c r="HT47" s="5">
        <f>INDEX(CEA_ROCKET_IAC_SOLVE($A$10:$D$12,C47,$D$16:$D$18,$E$16:$E$16,$F$16:$F$18,B47,,,,,$E$11:$E$12,$B$18,,,,,,$A$22:$A$42,$C$22:$C$29,$B$5,$B$6,$B$7),1,221)</f>
      </c>
      <c r="HU47" s="5">
        <f>INDEX(CEA_ROCKET_IAC_SOLVE($A$10:$D$12,C47,$D$16:$D$18,$E$16:$E$16,$F$16:$F$18,B47,,,,,$E$11:$E$12,$B$18,,,,,,$A$22:$A$42,$C$22:$C$29,$B$5,$B$6,$B$7),1,222)</f>
      </c>
      <c r="HV47" s="5">
        <f>INDEX(CEA_ROCKET_IAC_SOLVE($A$10:$D$12,C47,$D$16:$D$18,$E$16:$E$16,$F$16:$F$18,B47,,,,,$E$11:$E$12,$B$18,,,,,,$A$22:$A$42,$C$22:$C$29,$B$5,$B$6,$B$7),1,223)</f>
      </c>
      <c r="HW47" s="5">
        <f>INDEX(CEA_ROCKET_IAC_SOLVE($A$10:$D$12,C47,$D$16:$D$18,$E$16:$E$16,$F$16:$F$18,B47,,,,,$E$11:$E$12,$B$18,,,,,,$A$22:$A$42,$C$22:$C$29,$B$5,$B$6,$B$7),1,224)</f>
      </c>
      <c r="HX47" s="5">
        <f>INDEX(CEA_ROCKET_IAC_SOLVE($A$10:$D$12,C47,$D$16:$D$18,$E$16:$E$16,$F$16:$F$18,B47,,,,,$E$11:$E$12,$B$18,,,,,,$A$22:$A$42,$C$22:$C$29,$B$5,$B$6,$B$7),1,225)</f>
      </c>
      <c r="HY47" s="5">
        <f>INDEX(CEA_ROCKET_IAC_SOLVE($A$10:$D$12,C47,$D$16:$D$18,$E$16:$E$16,$F$16:$F$18,B47,,,,,$E$11:$E$12,$B$18,,,,,,$A$22:$A$42,$C$22:$C$29,$B$5,$B$6,$B$7),1,226)</f>
      </c>
      <c r="HZ47" s="5">
        <f>INDEX(CEA_ROCKET_IAC_SOLVE($A$10:$D$12,C47,$D$16:$D$18,$E$16:$E$16,$F$16:$F$18,B47,,,,,$E$11:$E$12,$B$18,,,,,,$A$22:$A$42,$C$22:$C$29,$B$5,$B$6,$B$7),1,227)</f>
      </c>
      <c r="IA47" s="5">
        <f>INDEX(CEA_ROCKET_IAC_SOLVE($A$10:$D$12,C47,$D$16:$D$18,$E$16:$E$16,$F$16:$F$18,B47,,,,,$E$11:$E$12,$B$18,,,,,,$A$22:$A$42,$C$22:$C$29,$B$5,$B$6,$B$7),1,228)</f>
      </c>
      <c r="IB47" s="5">
        <f>INDEX(CEA_ROCKET_IAC_SOLVE($A$10:$D$12,C47,$D$16:$D$18,$E$16:$E$16,$F$16:$F$18,B47,,,,,$E$11:$E$12,$B$18,,,,,,$A$22:$A$42,$C$22:$C$29,$B$5,$B$6,$B$7),1,229)</f>
      </c>
      <c r="IC47" s="5">
        <f>INDEX(CEA_ROCKET_IAC_SOLVE($A$10:$D$12,C47,$D$16:$D$18,$E$16:$E$16,$F$16:$F$18,B47,,,,,$E$11:$E$12,$B$18,,,,,,$A$22:$A$42,$C$22:$C$29,$B$5,$B$6,$B$7),1,230)</f>
      </c>
      <c r="ID47" s="5">
        <f>INDEX(CEA_ROCKET_IAC_SOLVE($A$10:$D$12,C47,$D$16:$D$18,$E$16:$E$16,$F$16:$F$18,B47,,,,,$E$11:$E$12,$B$18,,,,,,$A$22:$A$42,$C$22:$C$29,$B$5,$B$6,$B$7),1,231)</f>
      </c>
      <c r="IE47" s="5">
        <f>INDEX(CEA_ROCKET_IAC_SOLVE($A$10:$D$12,C47,$D$16:$D$18,$E$16:$E$16,$F$16:$F$18,B47,,,,,$E$11:$E$12,$B$18,,,,,,$A$22:$A$42,$C$22:$C$29,$B$5,$B$6,$B$7),1,232)</f>
      </c>
      <c r="IF47" s="5">
        <f>INDEX(CEA_ROCKET_IAC_SOLVE($A$10:$D$12,C47,$D$16:$D$18,$E$16:$E$16,$F$16:$F$18,B47,,,,,$E$11:$E$12,$B$18,,,,,,$A$22:$A$42,$C$22:$C$29,$B$5,$B$6,$B$7),1,233)</f>
      </c>
      <c r="IG47" s="5">
        <f>INDEX(CEA_ROCKET_IAC_SOLVE($A$10:$D$12,C47,$D$16:$D$18,$E$16:$E$16,$F$16:$F$18,B47,,,,,$E$11:$E$12,$B$18,,,,,,$A$22:$A$42,$C$22:$C$29,$B$5,$B$6,$B$7),1,234)</f>
      </c>
      <c r="IH47" s="5">
        <f>INDEX(CEA_ROCKET_IAC_SOLVE($A$10:$D$12,C47,$D$16:$D$18,$E$16:$E$16,$F$16:$F$18,B47,,,,,$E$11:$E$12,$B$18,,,,,,$A$22:$A$42,$C$22:$C$29,$B$5,$B$6,$B$7),1,235)</f>
      </c>
      <c r="II47" s="5">
        <f>INDEX(CEA_ROCKET_IAC_SOLVE($A$10:$D$12,C47,$D$16:$D$18,$E$16:$E$16,$F$16:$F$18,B47,,,,,$E$11:$E$12,$B$18,,,,,,$A$22:$A$42,$C$22:$C$29,$B$5,$B$6,$B$7),1,236)</f>
      </c>
      <c r="IJ47" s="5">
        <f>INDEX(CEA_ROCKET_IAC_SOLVE($A$10:$D$12,C47,$D$16:$D$18,$E$16:$E$16,$F$16:$F$18,B47,,,,,$E$11:$E$12,$B$18,,,,,,$A$22:$A$42,$C$22:$C$29,$B$5,$B$6,$B$7),1,237)</f>
      </c>
      <c r="IK47" s="5">
        <f>INDEX(CEA_ROCKET_IAC_SOLVE($A$10:$D$12,C47,$D$16:$D$18,$E$16:$E$16,$F$16:$F$18,B47,,,,,$E$11:$E$12,$B$18,,,,,,$A$22:$A$42,$C$22:$C$29,$B$5,$B$6,$B$7),1,238)</f>
      </c>
      <c r="IL47" s="5">
        <f>INDEX(CEA_ROCKET_IAC_SOLVE($A$10:$D$12,C47,$D$16:$D$18,$E$16:$E$16,$F$16:$F$18,B47,,,,,$E$11:$E$12,$B$18,,,,,,$A$22:$A$42,$C$22:$C$29,$B$5,$B$6,$B$7),1,239)</f>
      </c>
      <c r="IM47" s="5">
        <f>INDEX(CEA_ROCKET_IAC_SOLVE($A$10:$D$12,C47,$D$16:$D$18,$E$16:$E$16,$F$16:$F$18,B47,,,,,$E$11:$E$12,$B$18,,,,,,$A$22:$A$42,$C$22:$C$29,$B$5,$B$6,$B$7),1,240)</f>
      </c>
      <c r="IN47" s="5">
        <f>INDEX(CEA_ROCKET_IAC_SOLVE($A$10:$D$12,C47,$D$16:$D$18,$E$16:$E$16,$F$16:$F$18,B47,,,,,$E$11:$E$12,$B$18,,,,,,$A$22:$A$42,$C$22:$C$29,$B$5,$B$6,$B$7),1,241)</f>
      </c>
      <c r="IO47" s="5">
        <f>INDEX(CEA_ROCKET_IAC_SOLVE($A$10:$D$12,C47,$D$16:$D$18,$E$16:$E$16,$F$16:$F$18,B47,,,,,$E$11:$E$12,$B$18,,,,,,$A$22:$A$42,$C$22:$C$29,$B$5,$B$6,$B$7),1,242)</f>
      </c>
      <c r="IP47" s="5">
        <f>INDEX(CEA_ROCKET_IAC_SOLVE($A$10:$D$12,C47,$D$16:$D$18,$E$16:$E$16,$F$16:$F$18,B47,,,,,$E$11:$E$12,$B$18,,,,,,$A$22:$A$42,$C$22:$C$29,$B$5,$B$6,$B$7),1,243)</f>
      </c>
      <c r="IQ47" s="5">
        <f>INDEX(CEA_ROCKET_IAC_SOLVE($A$10:$D$12,C47,$D$16:$D$18,$E$16:$E$16,$F$16:$F$18,B47,,,,,$E$11:$E$12,$B$18,,,,,,$A$22:$A$42,$C$22:$C$29,$B$5,$B$6,$B$7),1,244)</f>
      </c>
      <c r="IR47" s="5">
        <f>INDEX(CEA_ROCKET_IAC_SOLVE($A$10:$D$12,C47,$D$16:$D$18,$E$16:$E$16,$F$16:$F$18,B47,,,,,$E$11:$E$12,$B$18,,,,,,$A$22:$A$42,$C$22:$C$29,$B$5,$B$6,$B$7),1,245)</f>
      </c>
      <c r="IS47" s="5">
        <f>INDEX(CEA_ROCKET_IAC_SOLVE($A$10:$D$12,C47,$D$16:$D$18,$E$16:$E$16,$F$16:$F$18,B47,,,,,$E$11:$E$12,$B$18,,,,,,$A$22:$A$42,$C$22:$C$29,$B$5,$B$6,$B$7),1,246)</f>
      </c>
      <c r="IT47" s="5">
        <f>INDEX(CEA_ROCKET_IAC_SOLVE($A$10:$D$12,C47,$D$16:$D$18,$E$16:$E$16,$F$16:$F$18,B47,,,,,$E$11:$E$12,$B$18,,,,,,$A$22:$A$42,$C$22:$C$29,$B$5,$B$6,$B$7),1,247)</f>
      </c>
      <c r="IU47" s="5">
        <f>INDEX(CEA_ROCKET_IAC_SOLVE($A$10:$D$12,C47,$D$16:$D$18,$E$16:$E$16,$F$16:$F$18,B47,,,,,$E$11:$E$12,$B$18,,,,,,$A$22:$A$42,$C$22:$C$29,$B$5,$B$6,$B$7),1,248)</f>
      </c>
      <c r="IV47" s="5">
        <f>INDEX(CEA_ROCKET_IAC_SOLVE($A$10:$D$12,C47,$D$16:$D$18,$E$16:$E$16,$F$16:$F$18,B47,,,,,$E$11:$E$12,$B$18,,,,,,$A$22:$A$42,$C$22:$C$29,$B$5,$B$6,$B$7),1,249)</f>
      </c>
      <c r="IW47" s="5">
        <f>INDEX(CEA_ROCKET_IAC_SOLVE($A$10:$D$12,C47,$D$16:$D$18,$E$16:$E$16,$F$16:$F$18,B47,,,,,$E$11:$E$12,$B$18,,,,,,$A$22:$A$42,$C$22:$C$29,$B$5,$B$6,$B$7),1,250)</f>
      </c>
      <c r="IX47" s="5">
        <f>INDEX(CEA_ROCKET_IAC_SOLVE($A$10:$D$12,C47,$D$16:$D$18,$E$16:$E$16,$F$16:$F$18,B47,,,,,$E$11:$E$12,$B$18,,,,,,$A$22:$A$42,$C$22:$C$29,$B$5,$B$6,$B$7),1,251)</f>
      </c>
      <c r="IY47" s="5">
        <f>INDEX(CEA_ROCKET_IAC_SOLVE($A$10:$D$12,C47,$D$16:$D$18,$E$16:$E$16,$F$16:$F$18,B47,,,,,$E$11:$E$12,$B$18,,,,,,$A$22:$A$42,$C$22:$C$29,$B$5,$B$6,$B$7),1,252)</f>
      </c>
      <c r="IZ47" s="5">
        <f>INDEX(CEA_ROCKET_IAC_SOLVE($A$10:$D$12,C47,$D$16:$D$18,$E$16:$E$16,$F$16:$F$18,B47,,,,,$E$11:$E$12,$B$18,,,,,,$A$22:$A$42,$C$22:$C$29,$B$5,$B$6,$B$7),1,253)</f>
      </c>
      <c r="JA47" s="5">
        <f>INDEX(CEA_ROCKET_IAC_SOLVE($A$10:$D$12,C47,$D$16:$D$18,$E$16:$E$16,$F$16:$F$18,B47,,,,,$E$11:$E$12,$B$18,,,,,,$A$22:$A$42,$C$22:$C$29,$B$5,$B$6,$B$7),1,254)</f>
      </c>
      <c r="JB47" s="5">
        <f>INDEX(CEA_ROCKET_IAC_SOLVE($A$10:$D$12,C47,$D$16:$D$18,$E$16:$E$16,$F$16:$F$18,B47,,,,,$E$11:$E$12,$B$18,,,,,,$A$22:$A$42,$C$22:$C$29,$B$5,$B$6,$B$7),1,255)</f>
      </c>
      <c r="JC47" s="5">
        <f>INDEX(CEA_ROCKET_IAC_SOLVE($A$10:$D$12,C47,$D$16:$D$18,$E$16:$E$16,$F$16:$F$18,B47,,,,,$E$11:$E$12,$B$18,,,,,,$A$22:$A$42,$C$22:$C$29,$B$5,$B$6,$B$7),1,256)</f>
      </c>
      <c r="JD47" s="5">
        <f>INDEX(CEA_ROCKET_IAC_SOLVE($A$10:$D$12,C47,$D$16:$D$18,$E$16:$E$16,$F$16:$F$18,B47,,,,,$E$11:$E$12,$B$18,,,,,,$A$22:$A$42,$C$22:$C$29,$B$5,$B$6,$B$7),1,257)</f>
      </c>
      <c r="JE47" s="5">
        <f>INDEX(CEA_ROCKET_IAC_SOLVE($A$10:$D$12,C47,$D$16:$D$18,$E$16:$E$16,$F$16:$F$18,B47,,,,,$E$11:$E$12,$B$18,,,,,,$A$22:$A$42,$C$22:$C$29,$B$5,$B$6,$B$7),1,258)</f>
      </c>
      <c r="JF47" s="5">
        <f>INDEX(CEA_ROCKET_IAC_SOLVE($A$10:$D$12,C47,$D$16:$D$18,$E$16:$E$16,$F$16:$F$18,B47,,,,,$E$11:$E$12,$B$18,,,,,,$A$22:$A$42,$C$22:$C$29,$B$5,$B$6,$B$7),1,259)</f>
      </c>
      <c r="JG47" s="5">
        <f>INDEX(CEA_ROCKET_IAC_SOLVE($A$10:$D$12,C47,$D$16:$D$18,$E$16:$E$16,$F$16:$F$18,B47,,,,,$E$11:$E$12,$B$18,,,,,,$A$22:$A$42,$C$22:$C$29,$B$5,$B$6,$B$7),1,260)</f>
      </c>
      <c r="JH47" s="5">
        <f>INDEX(CEA_ROCKET_IAC_SOLVE($A$10:$D$12,C47,$D$16:$D$18,$E$16:$E$16,$F$16:$F$18,B47,,,,,$E$11:$E$12,$B$18,,,,,,$A$22:$A$42,$C$22:$C$29,$B$5,$B$6,$B$7),1,261)</f>
      </c>
      <c r="JI47" s="5">
        <f>INDEX(CEA_ROCKET_IAC_SOLVE($A$10:$D$12,C47,$D$16:$D$18,$E$16:$E$16,$F$16:$F$18,B47,,,,,$E$11:$E$12,$B$18,,,,,,$A$22:$A$42,$C$22:$C$29,$B$5,$B$6,$B$7),1,262)</f>
      </c>
      <c r="JJ47" s="5">
        <f>INDEX(CEA_ROCKET_IAC_SOLVE($A$10:$D$12,C47,$D$16:$D$18,$E$16:$E$16,$F$16:$F$18,B47,,,,,$E$11:$E$12,$B$18,,,,,,$A$22:$A$42,$C$22:$C$29,$B$5,$B$6,$B$7),1,263)</f>
      </c>
      <c r="JK47" s="5">
        <f>INDEX(CEA_ROCKET_IAC_SOLVE($A$10:$D$12,C47,$D$16:$D$18,$E$16:$E$16,$F$16:$F$18,B47,,,,,$E$11:$E$12,$B$18,,,,,,$A$22:$A$42,$C$22:$C$29,$B$5,$B$6,$B$7),1,264)</f>
      </c>
      <c r="JL47" s="5">
        <f>INDEX(CEA_ROCKET_IAC_SOLVE($A$10:$D$12,C47,$D$16:$D$18,$E$16:$E$16,$F$16:$F$18,B47,,,,,$E$11:$E$12,$B$18,,,,,,$A$22:$A$42,$C$22:$C$29,$B$5,$B$6,$B$7),1,265)</f>
      </c>
      <c r="JM47" s="5">
        <f>INDEX(CEA_ROCKET_IAC_SOLVE($A$10:$D$12,C47,$D$16:$D$18,$E$16:$E$16,$F$16:$F$18,B47,,,,,$E$11:$E$12,$B$18,,,,,,$A$22:$A$42,$C$22:$C$29,$B$5,$B$6,$B$7),1,266)</f>
      </c>
      <c r="JN47" s="5">
        <f>INDEX(CEA_ROCKET_IAC_SOLVE($A$10:$D$12,C47,$D$16:$D$18,$E$16:$E$16,$F$16:$F$18,B47,,,,,$E$11:$E$12,$B$18,,,,,,$A$22:$A$42,$C$22:$C$29,$B$5,$B$6,$B$7),1,267)</f>
      </c>
      <c r="JO47" s="5">
        <f>INDEX(CEA_ROCKET_IAC_SOLVE($A$10:$D$12,C47,$D$16:$D$18,$E$16:$E$16,$F$16:$F$18,B47,,,,,$E$11:$E$12,$B$18,,,,,,$A$22:$A$42,$C$22:$C$29,$B$5,$B$6,$B$7),1,268)</f>
      </c>
      <c r="JP47" s="5">
        <f>INDEX(CEA_ROCKET_IAC_SOLVE($A$10:$D$12,C47,$D$16:$D$18,$E$16:$E$16,$F$16:$F$18,B47,,,,,$E$11:$E$12,$B$18,,,,,,$A$22:$A$42,$C$22:$C$29,$B$5,$B$6,$B$7),1,269)</f>
      </c>
      <c r="JQ47" s="5">
        <f>INDEX(CEA_ROCKET_IAC_SOLVE($A$10:$D$12,C47,$D$16:$D$18,$E$16:$E$16,$F$16:$F$18,B47,,,,,$E$11:$E$12,$B$18,,,,,,$A$22:$A$42,$C$22:$C$29,$B$5,$B$6,$B$7),1,270)</f>
      </c>
      <c r="JR47" s="5">
        <f>INDEX(CEA_ROCKET_IAC_SOLVE($A$10:$D$12,C47,$D$16:$D$18,$E$16:$E$16,$F$16:$F$18,B47,,,,,$E$11:$E$12,$B$18,,,,,,$A$22:$A$42,$C$22:$C$29,$B$5,$B$6,$B$7),1,271)</f>
      </c>
      <c r="JS47" s="5">
        <f>INDEX(CEA_ROCKET_IAC_SOLVE($A$10:$D$12,C47,$D$16:$D$18,$E$16:$E$16,$F$16:$F$18,B47,,,,,$E$11:$E$12,$B$18,,,,,,$A$22:$A$42,$C$22:$C$29,$B$5,$B$6,$B$7),1,272)</f>
      </c>
      <c r="JT47" s="5">
        <f>INDEX(CEA_ROCKET_IAC_SOLVE($A$10:$D$12,C47,$D$16:$D$18,$E$16:$E$16,$F$16:$F$18,B47,,,,,$E$11:$E$12,$B$18,,,,,,$A$22:$A$42,$C$22:$C$29,$B$5,$B$6,$B$7),1,273)</f>
      </c>
      <c r="JU47" s="5">
        <f>INDEX(CEA_ROCKET_IAC_SOLVE($A$10:$D$12,C47,$D$16:$D$18,$E$16:$E$16,$F$16:$F$18,B47,,,,,$E$11:$E$12,$B$18,,,,,,$A$22:$A$42,$C$22:$C$29,$B$5,$B$6,$B$7),1,274)</f>
      </c>
      <c r="JV47" s="5">
        <f>INDEX(CEA_ROCKET_IAC_SOLVE($A$10:$D$12,C47,$D$16:$D$18,$E$16:$E$16,$F$16:$F$18,B47,,,,,$E$11:$E$12,$B$18,,,,,,$A$22:$A$42,$C$22:$C$29,$B$5,$B$6,$B$7),1,275)</f>
      </c>
      <c r="JW47" s="5">
        <f>INDEX(CEA_ROCKET_IAC_SOLVE($A$10:$D$12,C47,$D$16:$D$18,$E$16:$E$16,$F$16:$F$18,B47,,,,,$E$11:$E$12,$B$18,,,,,,$A$22:$A$42,$C$22:$C$29,$B$5,$B$6,$B$7),1,276)</f>
      </c>
      <c r="JX47" s="5">
        <f>INDEX(CEA_ROCKET_IAC_SOLVE($A$10:$D$12,C47,$D$16:$D$18,$E$16:$E$16,$F$16:$F$18,B47,,,,,$E$11:$E$12,$B$18,,,,,,$A$22:$A$42,$C$22:$C$29,$B$5,$B$6,$B$7),1,277)</f>
      </c>
      <c r="JY47" s="5">
        <f>INDEX(CEA_ROCKET_IAC_SOLVE($A$10:$D$12,C47,$D$16:$D$18,$E$16:$E$16,$F$16:$F$18,B47,,,,,$E$11:$E$12,$B$18,,,,,,$A$22:$A$42,$C$22:$C$29,$B$5,$B$6,$B$7),1,278)</f>
      </c>
      <c r="JZ47" s="5">
        <f>INDEX(CEA_ROCKET_IAC_SOLVE($A$10:$D$12,C47,$D$16:$D$18,$E$16:$E$16,$F$16:$F$18,B47,,,,,$E$11:$E$12,$B$18,,,,,,$A$22:$A$42,$C$22:$C$29,$B$5,$B$6,$B$7),1,279)</f>
      </c>
      <c r="KA47" s="5">
        <f>INDEX(CEA_ROCKET_IAC_SOLVE($A$10:$D$12,C47,$D$16:$D$18,$E$16:$E$16,$F$16:$F$18,B47,,,,,$E$11:$E$12,$B$18,,,,,,$A$22:$A$42,$C$22:$C$29,$B$5,$B$6,$B$7),1,280)</f>
      </c>
      <c r="KB47" s="5">
        <f>INDEX(CEA_ROCKET_IAC_SOLVE($A$10:$D$12,C47,$D$16:$D$18,$E$16:$E$16,$F$16:$F$18,B47,,,,,$E$11:$E$12,$B$18,,,,,,$A$22:$A$42,$C$22:$C$29,$B$5,$B$6,$B$7),1,281)</f>
      </c>
      <c r="KC47" s="5">
        <f>INDEX(CEA_ROCKET_IAC_SOLVE($A$10:$D$12,C47,$D$16:$D$18,$E$16:$E$16,$F$16:$F$18,B47,,,,,$E$11:$E$12,$B$18,,,,,,$A$22:$A$42,$C$22:$C$29,$B$5,$B$6,$B$7),1,282)</f>
      </c>
      <c r="KD47" s="5">
        <f>INDEX(CEA_ROCKET_IAC_SOLVE($A$10:$D$12,C47,$D$16:$D$18,$E$16:$E$16,$F$16:$F$18,B47,,,,,$E$11:$E$12,$B$18,,,,,,$A$22:$A$42,$C$22:$C$29,$B$5,$B$6,$B$7),1,283)</f>
      </c>
      <c r="KE47" s="5">
        <f>INDEX(CEA_ROCKET_IAC_SOLVE($A$10:$D$12,C47,$D$16:$D$18,$E$16:$E$16,$F$16:$F$18,B47,,,,,$E$11:$E$12,$B$18,,,,,,$A$22:$A$42,$C$22:$C$29,$B$5,$B$6,$B$7),1,284)</f>
      </c>
      <c r="KF47" s="5">
        <f>INDEX(CEA_ROCKET_IAC_SOLVE($A$10:$D$12,C47,$D$16:$D$18,$E$16:$E$16,$F$16:$F$18,B47,,,,,$E$11:$E$12,$B$18,,,,,,$A$22:$A$42,$C$22:$C$29,$B$5,$B$6,$B$7),1,285)</f>
      </c>
      <c r="KG47" s="5">
        <f>INDEX(CEA_ROCKET_IAC_SOLVE($A$10:$D$12,C47,$D$16:$D$18,$E$16:$E$16,$F$16:$F$18,B47,,,,,$E$11:$E$12,$B$18,,,,,,$A$22:$A$42,$C$22:$C$29,$B$5,$B$6,$B$7),1,286)</f>
      </c>
      <c r="KH47" s="5">
        <f>INDEX(CEA_ROCKET_IAC_SOLVE($A$10:$D$12,C47,$D$16:$D$18,$E$16:$E$16,$F$16:$F$18,B47,,,,,$E$11:$E$12,$B$18,,,,,,$A$22:$A$42,$C$22:$C$29,$B$5,$B$6,$B$7),1,287)</f>
      </c>
      <c r="KI47" s="5">
        <f>INDEX(CEA_ROCKET_IAC_SOLVE($A$10:$D$12,C47,$D$16:$D$18,$E$16:$E$16,$F$16:$F$18,B47,,,,,$E$11:$E$12,$B$18,,,,,,$A$22:$A$42,$C$22:$C$29,$B$5,$B$6,$B$7),1,288)</f>
      </c>
      <c r="KJ47" s="5">
        <f>INDEX(CEA_ROCKET_IAC_SOLVE($A$10:$D$12,C47,$D$16:$D$18,$E$16:$E$16,$F$16:$F$18,B47,,,,,$E$11:$E$12,$B$18,,,,,,$A$22:$A$42,$C$22:$C$29,$B$5,$B$6,$B$7),1,289)</f>
      </c>
      <c r="KK47" s="5">
        <f>INDEX(CEA_ROCKET_IAC_SOLVE($A$10:$D$12,C47,$D$16:$D$18,$E$16:$E$16,$F$16:$F$18,B47,,,,,$E$11:$E$12,$B$18,,,,,,$A$22:$A$42,$C$22:$C$29,$B$5,$B$6,$B$7),1,290)</f>
      </c>
      <c r="KL47" s="5">
        <f>INDEX(CEA_ROCKET_IAC_SOLVE($A$10:$D$12,C47,$D$16:$D$18,$E$16:$E$16,$F$16:$F$18,B47,,,,,$E$11:$E$12,$B$18,,,,,,$A$22:$A$42,$C$22:$C$29,$B$5,$B$6,$B$7),1,291)</f>
      </c>
      <c r="KM47" s="5">
        <f>INDEX(CEA_ROCKET_IAC_SOLVE($A$10:$D$12,C47,$D$16:$D$18,$E$16:$E$16,$F$16:$F$18,B47,,,,,$E$11:$E$12,$B$18,,,,,,$A$22:$A$42,$C$22:$C$29,$B$5,$B$6,$B$7),1,292)</f>
      </c>
      <c r="KN47" s="5">
        <f>INDEX(CEA_ROCKET_IAC_SOLVE($A$10:$D$12,C47,$D$16:$D$18,$E$16:$E$16,$F$16:$F$18,B47,,,,,$E$11:$E$12,$B$18,,,,,,$A$22:$A$42,$C$22:$C$29,$B$5,$B$6,$B$7),1,293)</f>
      </c>
      <c r="KO47" s="5">
        <f>INDEX(CEA_ROCKET_IAC_SOLVE($A$10:$D$12,C47,$D$16:$D$18,$E$16:$E$16,$F$16:$F$18,B47,,,,,$E$11:$E$12,$B$18,,,,,,$A$22:$A$42,$C$22:$C$29,$B$5,$B$6,$B$7),1,294)</f>
      </c>
      <c r="KP47" s="5">
        <f>INDEX(CEA_ROCKET_IAC_SOLVE($A$10:$D$12,C47,$D$16:$D$18,$E$16:$E$16,$F$16:$F$18,B47,,,,,$E$11:$E$12,$B$18,,,,,,$A$22:$A$42,$C$22:$C$29,$B$5,$B$6,$B$7),1,295)</f>
      </c>
      <c r="KQ47" s="5">
        <f>INDEX(CEA_ROCKET_IAC_SOLVE($A$10:$D$12,C47,$D$16:$D$18,$E$16:$E$16,$F$16:$F$18,B47,,,,,$E$11:$E$12,$B$18,,,,,,$A$22:$A$42,$C$22:$C$29,$B$5,$B$6,$B$7),1,296)</f>
      </c>
      <c r="KR47" s="5">
        <f>INDEX(CEA_ROCKET_IAC_SOLVE($A$10:$D$12,C47,$D$16:$D$18,$E$16:$E$16,$F$16:$F$18,B47,,,,,$E$11:$E$12,$B$18,,,,,,$A$22:$A$42,$C$22:$C$29,$B$5,$B$6,$B$7),1,297)</f>
      </c>
      <c r="KS47" s="5">
        <f>INDEX(CEA_ROCKET_IAC_SOLVE($A$10:$D$12,C47,$D$16:$D$18,$E$16:$E$16,$F$16:$F$18,B47,,,,,$E$11:$E$12,$B$18,,,,,,$A$22:$A$42,$C$22:$C$29,$B$5,$B$6,$B$7),1,298)</f>
      </c>
      <c r="KT47" s="5">
        <f>INDEX(CEA_ROCKET_IAC_SOLVE($A$10:$D$12,C47,$D$16:$D$18,$E$16:$E$16,$F$16:$F$18,B47,,,,,$E$11:$E$12,$B$18,,,,,,$A$22:$A$42,$C$22:$C$29,$B$5,$B$6,$B$7),1,299)</f>
      </c>
      <c r="KU47" s="5">
        <f>INDEX(CEA_ROCKET_IAC_SOLVE($A$10:$D$12,C47,$D$16:$D$18,$E$16:$E$16,$F$16:$F$18,B47,,,,,$E$11:$E$12,$B$18,,,,,,$A$22:$A$42,$C$22:$C$29,$B$5,$B$6,$B$7),1,300)</f>
      </c>
      <c r="KV47" s="5">
        <f>INDEX(CEA_ROCKET_IAC_SOLVE($A$10:$D$12,C47,$D$16:$D$18,$E$16:$E$16,$F$16:$F$18,B47,,,,,$E$11:$E$12,$B$18,,,,,,$A$22:$A$42,$C$22:$C$29,$B$5,$B$6,$B$7),1,301)</f>
      </c>
      <c r="KW47" s="5">
        <f>INDEX(CEA_ROCKET_IAC_SOLVE($A$10:$D$12,C47,$D$16:$D$18,$E$16:$E$16,$F$16:$F$18,B47,,,,,$E$11:$E$12,$B$18,,,,,,$A$22:$A$42,$C$22:$C$29,$B$5,$B$6,$B$7),1,302)</f>
      </c>
      <c r="KX47" s="5">
        <f>INDEX(CEA_ROCKET_IAC_SOLVE($A$10:$D$12,C47,$D$16:$D$18,$E$16:$E$16,$F$16:$F$18,B47,,,,,$E$11:$E$12,$B$18,,,,,,$A$22:$A$42,$C$22:$C$29,$B$5,$B$6,$B$7),1,303)</f>
      </c>
      <c r="KY47" s="5">
        <f>INDEX(CEA_ROCKET_IAC_SOLVE($A$10:$D$12,C47,$D$16:$D$18,$E$16:$E$16,$F$16:$F$18,B47,,,,,$E$11:$E$12,$B$18,,,,,,$A$22:$A$42,$C$22:$C$29,$B$5,$B$6,$B$7),1,304)</f>
      </c>
      <c r="KZ47" s="5">
        <f>INDEX(CEA_ROCKET_IAC_SOLVE($A$10:$D$12,C47,$D$16:$D$18,$E$16:$E$16,$F$16:$F$18,B47,,,,,$E$11:$E$12,$B$18,,,,,,$A$22:$A$42,$C$22:$C$29,$B$5,$B$6,$B$7),1,305)</f>
      </c>
      <c r="LA47" s="5">
        <f>INDEX(CEA_ROCKET_IAC_SOLVE($A$10:$D$12,C47,$D$16:$D$18,$E$16:$E$16,$F$16:$F$18,B47,,,,,$E$11:$E$12,$B$18,,,,,,$A$22:$A$42,$C$22:$C$29,$B$5,$B$6,$B$7),1,306)</f>
      </c>
      <c r="LB47" s="5">
        <f>INDEX(CEA_ROCKET_IAC_SOLVE($A$10:$D$12,C47,$D$16:$D$18,$E$16:$E$16,$F$16:$F$18,B47,,,,,$E$11:$E$12,$B$18,,,,,,$A$22:$A$42,$C$22:$C$29,$B$5,$B$6,$B$7),1,307)</f>
      </c>
      <c r="LC47" s="5">
        <f>INDEX(CEA_ROCKET_IAC_SOLVE($A$10:$D$12,C47,$D$16:$D$18,$E$16:$E$16,$F$16:$F$18,B47,,,,,$E$11:$E$12,$B$18,,,,,,$A$22:$A$42,$C$22:$C$29,$B$5,$B$6,$B$7),1,308)</f>
      </c>
      <c r="LD47" s="5">
        <f>INDEX(CEA_ROCKET_IAC_SOLVE($A$10:$D$12,C47,$D$16:$D$18,$E$16:$E$16,$F$16:$F$18,B47,,,,,$E$11:$E$12,$B$18,,,,,,$A$22:$A$42,$C$22:$C$29,$B$5,$B$6,$B$7),1,309)</f>
      </c>
      <c r="LE47" s="5">
        <f>INDEX(CEA_ROCKET_IAC_SOLVE($A$10:$D$12,C47,$D$16:$D$18,$E$16:$E$16,$F$16:$F$18,B47,,,,,$E$11:$E$12,$B$18,,,,,,$A$22:$A$42,$C$22:$C$29,$B$5,$B$6,$B$7),1,310)</f>
      </c>
      <c r="LF47" s="5">
        <f>INDEX(CEA_ROCKET_IAC_SOLVE($A$10:$D$12,C47,$D$16:$D$18,$E$16:$E$16,$F$16:$F$18,B47,,,,,$E$11:$E$12,$B$18,,,,,,$A$22:$A$42,$C$22:$C$29,$B$5,$B$6,$B$7),1,311)</f>
      </c>
      <c r="LG47" s="5">
        <f>INDEX(CEA_ROCKET_IAC_SOLVE($A$10:$D$12,C47,$D$16:$D$18,$E$16:$E$16,$F$16:$F$18,B47,,,,,$E$11:$E$12,$B$18,,,,,,$A$22:$A$42,$C$22:$C$29,$B$5,$B$6,$B$7),1,312)</f>
      </c>
      <c r="LH47" s="5">
        <f>INDEX(CEA_ROCKET_IAC_SOLVE($A$10:$D$12,C47,$D$16:$D$18,$E$16:$E$16,$F$16:$F$18,B47,,,,,$E$11:$E$12,$B$18,,,,,,$A$22:$A$42,$C$22:$C$29,$B$5,$B$6,$B$7),1,313)</f>
      </c>
      <c r="LI47" s="5">
        <f>INDEX(CEA_ROCKET_IAC_SOLVE($A$10:$D$12,C47,$D$16:$D$18,$E$16:$E$16,$F$16:$F$18,B47,,,,,$E$11:$E$12,$B$18,,,,,,$A$22:$A$42,$C$22:$C$29,$B$5,$B$6,$B$7),1,314)</f>
      </c>
      <c r="LJ47" s="5">
        <f>INDEX(CEA_ROCKET_IAC_SOLVE($A$10:$D$12,C47,$D$16:$D$18,$E$16:$E$16,$F$16:$F$18,B47,,,,,$E$11:$E$12,$B$18,,,,,,$A$22:$A$42,$C$22:$C$29,$B$5,$B$6,$B$7),1,315)</f>
      </c>
      <c r="LK47" s="5">
        <f>INDEX(CEA_ROCKET_IAC_SOLVE($A$10:$D$12,C47,$D$16:$D$18,$E$16:$E$16,$F$16:$F$18,B47,,,,,$E$11:$E$12,$B$18,,,,,,$A$22:$A$42,$C$22:$C$29,$B$5,$B$6,$B$7),1,316)</f>
      </c>
      <c r="LL47" s="5">
        <f>INDEX(CEA_ROCKET_IAC_SOLVE($A$10:$D$12,C47,$D$16:$D$18,$E$16:$E$16,$F$16:$F$18,B47,,,,,$E$11:$E$12,$B$18,,,,,,$A$22:$A$42,$C$22:$C$29,$B$5,$B$6,$B$7),1,317)</f>
      </c>
      <c r="LM47" s="5">
        <f>INDEX(CEA_ROCKET_IAC_SOLVE($A$10:$D$12,C47,$D$16:$D$18,$E$16:$E$16,$F$16:$F$18,B47,,,,,$E$11:$E$12,$B$18,,,,,,$A$22:$A$42,$C$22:$C$29,$B$5,$B$6,$B$7),1,318)</f>
      </c>
      <c r="LN47" s="5">
        <f>INDEX(CEA_ROCKET_IAC_SOLVE($A$10:$D$12,C47,$D$16:$D$18,$E$16:$E$16,$F$16:$F$18,B47,,,,,$E$11:$E$12,$B$18,,,,,,$A$22:$A$42,$C$22:$C$29,$B$5,$B$6,$B$7),1,319)</f>
      </c>
      <c r="LO47" s="5">
        <f>INDEX(CEA_ROCKET_IAC_SOLVE($A$10:$D$12,C47,$D$16:$D$18,$E$16:$E$16,$F$16:$F$18,B47,,,,,$E$11:$E$12,$B$18,,,,,,$A$22:$A$42,$C$22:$C$29,$B$5,$B$6,$B$7),1,320)</f>
      </c>
      <c r="LP47" s="5">
        <f>INDEX(CEA_ROCKET_IAC_SOLVE($A$10:$D$12,C47,$D$16:$D$18,$E$16:$E$16,$F$16:$F$18,B47,,,,,$E$11:$E$12,$B$18,,,,,,$A$22:$A$42,$C$22:$C$29,$B$5,$B$6,$B$7),1,321)</f>
      </c>
      <c r="LQ47" s="5">
        <f>INDEX(CEA_ROCKET_IAC_SOLVE($A$10:$D$12,C47,$D$16:$D$18,$E$16:$E$16,$F$16:$F$18,B47,,,,,$E$11:$E$12,$B$18,,,,,,$A$22:$A$42,$C$22:$C$29,$B$5,$B$6,$B$7),1,322)</f>
      </c>
      <c r="LR47" s="5">
        <f>INDEX(CEA_ROCKET_IAC_SOLVE($A$10:$D$12,C47,$D$16:$D$18,$E$16:$E$16,$F$16:$F$18,B47,,,,,$E$11:$E$12,$B$18,,,,,,$A$22:$A$42,$C$22:$C$29,$B$5,$B$6,$B$7),1,323)</f>
      </c>
      <c r="LS47" s="5">
        <f>INDEX(CEA_ROCKET_IAC_SOLVE($A$10:$D$12,C47,$D$16:$D$18,$E$16:$E$16,$F$16:$F$18,B47,,,,,$E$11:$E$12,$B$18,,,,,,$A$22:$A$42,$C$22:$C$29,$B$5,$B$6,$B$7),1,324)</f>
      </c>
      <c r="LT47" s="5">
        <f>INDEX(CEA_ROCKET_IAC_SOLVE($A$10:$D$12,C47,$D$16:$D$18,$E$16:$E$16,$F$16:$F$18,B47,,,,,$E$11:$E$12,$B$18,,,,,,$A$22:$A$42,$C$22:$C$29,$B$5,$B$6,$B$7),1,325)</f>
      </c>
      <c r="LU47" s="5">
        <f>INDEX(CEA_ROCKET_IAC_SOLVE($A$10:$D$12,C47,$D$16:$D$18,$E$16:$E$16,$F$16:$F$18,B47,,,,,$E$11:$E$12,$B$18,,,,,,$A$22:$A$42,$C$22:$C$29,$B$5,$B$6,$B$7),1,326)</f>
      </c>
      <c r="LV47" s="5">
        <f>INDEX(CEA_ROCKET_IAC_SOLVE($A$10:$D$12,C47,$D$16:$D$18,$E$16:$E$16,$F$16:$F$18,B47,,,,,$E$11:$E$12,$B$18,,,,,,$A$22:$A$42,$C$22:$C$29,$B$5,$B$6,$B$7),1,327)</f>
      </c>
      <c r="LW47" s="5">
        <f>INDEX(CEA_ROCKET_IAC_SOLVE($A$10:$D$12,C47,$D$16:$D$18,$E$16:$E$16,$F$16:$F$18,B47,,,,,$E$11:$E$12,$B$18,,,,,,$A$22:$A$42,$C$22:$C$29,$B$5,$B$6,$B$7),1,328)</f>
      </c>
      <c r="LX47" s="5">
        <f>INDEX(CEA_ROCKET_IAC_SOLVE($A$10:$D$12,C47,$D$16:$D$18,$E$16:$E$16,$F$16:$F$18,B47,,,,,$E$11:$E$12,$B$18,,,,,,$A$22:$A$42,$C$22:$C$29,$B$5,$B$6,$B$7),1,329)</f>
      </c>
      <c r="LY47" s="5">
        <f>INDEX(CEA_ROCKET_IAC_SOLVE($A$10:$D$12,C47,$D$16:$D$18,$E$16:$E$16,$F$16:$F$18,B47,,,,,$E$11:$E$12,$B$18,,,,,,$A$22:$A$42,$C$22:$C$29,$B$5,$B$6,$B$7),1,330)</f>
      </c>
      <c r="LZ47" s="5">
        <f>INDEX(CEA_ROCKET_IAC_SOLVE($A$10:$D$12,C47,$D$16:$D$18,$E$16:$E$16,$F$16:$F$18,B47,,,,,$E$11:$E$12,$B$18,,,,,,$A$22:$A$42,$C$22:$C$29,$B$5,$B$6,$B$7),1,331)</f>
      </c>
      <c r="MA47" s="5">
        <f>INDEX(CEA_ROCKET_IAC_SOLVE($A$10:$D$12,C47,$D$16:$D$18,$E$16:$E$16,$F$16:$F$18,B47,,,,,$E$11:$E$12,$B$18,,,,,,$A$22:$A$42,$C$22:$C$29,$B$5,$B$6,$B$7),1,332)</f>
      </c>
      <c r="MB47" s="5">
        <f>INDEX(CEA_ROCKET_IAC_SOLVE($A$10:$D$12,C47,$D$16:$D$18,$E$16:$E$16,$F$16:$F$18,B47,,,,,$E$11:$E$12,$B$18,,,,,,$A$22:$A$42,$C$22:$C$29,$B$5,$B$6,$B$7),1,333)</f>
      </c>
      <c r="MC47" s="5">
        <f>INDEX(CEA_ROCKET_IAC_SOLVE($A$10:$D$12,C47,$D$16:$D$18,$E$16:$E$16,$F$16:$F$18,B47,,,,,$E$11:$E$12,$B$18,,,,,,$A$22:$A$42,$C$22:$C$29,$B$5,$B$6,$B$7),1,334)</f>
      </c>
      <c r="MD47" s="5">
        <f>INDEX(CEA_ROCKET_IAC_SOLVE($A$10:$D$12,C47,$D$16:$D$18,$E$16:$E$16,$F$16:$F$18,B47,,,,,$E$11:$E$12,$B$18,,,,,,$A$22:$A$42,$C$22:$C$29,$B$5,$B$6,$B$7),1,335)</f>
      </c>
      <c r="ME47" s="5">
        <f>INDEX(CEA_ROCKET_IAC_SOLVE($A$10:$D$12,C47,$D$16:$D$18,$E$16:$E$16,$F$16:$F$18,B47,,,,,$E$11:$E$12,$B$18,,,,,,$A$22:$A$42,$C$22:$C$29,$B$5,$B$6,$B$7),1,336)</f>
      </c>
    </row>
  </sheetData>
  <mergeCells count="4">
    <mergeCell ref="A1:G1"/>
    <mergeCell ref="E22:H22"/>
    <mergeCell ref="E23:H23"/>
    <mergeCell ref="E24:H2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ES62"/>
  <sheetViews>
    <sheetView workbookViewId="0">
      <selection/>
    </sheetView>
  </sheetViews>
  <sheetFormatPr baseColWidth="10" defaultRowHeight="16" x14ac:dyDescent="0.2"/>
  <cols>
    <col min="1" max="1" width="20" customWidth="1"/>
    <col min="2" max="2" width="14" customWidth="1"/>
    <col min="3" max="3" width="14" customWidth="1"/>
    <col min="4" max="4" width="14" customWidth="1"/>
    <col min="5" max="5" width="18" customWidth="1"/>
    <col min="6" max="6" width="12" customWidth="1"/>
    <col min="7" max="7" width="12" customWidth="1"/>
    <col min="8" max="8" width="22" customWidth="1"/>
    <col min="9" max="9" width="15" customWidth="1"/>
    <col min="10" max="10" width="15" customWidth="1"/>
    <col min="11" max="11" width="15" customWidth="1"/>
    <col min="12" max="12" width="15" customWidth="1"/>
    <col min="13" max="13" width="15" customWidth="1"/>
    <col min="14" max="14" width="15" customWidth="1"/>
    <col min="15" max="15" width="15" customWidth="1"/>
    <col min="16" max="16" width="15" customWidth="1"/>
    <col min="17" max="17" width="15" customWidth="1"/>
    <col min="18" max="18" width="15" customWidth="1"/>
    <col min="19" max="19" width="15" customWidth="1"/>
    <col min="20" max="20" width="15" customWidth="1"/>
    <col min="21" max="21" width="15" customWidth="1"/>
    <col min="22" max="22" width="15" customWidth="1"/>
    <col min="23" max="23" width="15" customWidth="1"/>
    <col min="24" max="24" width="15" customWidth="1"/>
    <col min="25" max="25" width="15" customWidth="1"/>
    <col min="26" max="26" width="15" customWidth="1"/>
    <col min="27" max="27" width="15" customWidth="1"/>
    <col min="28" max="28" width="15" customWidth="1"/>
    <col min="29" max="29" width="15" customWidth="1"/>
    <col min="30" max="30" width="15" customWidth="1"/>
    <col min="31" max="31" width="15" customWidth="1"/>
    <col min="32" max="32" width="15" customWidth="1"/>
    <col min="33" max="33" width="15" customWidth="1"/>
    <col min="34" max="34" width="15" customWidth="1"/>
    <col min="35" max="35" width="15" customWidth="1"/>
    <col min="36" max="36" width="15" customWidth="1"/>
    <col min="37" max="37" width="15" customWidth="1"/>
    <col min="38" max="38" width="15" customWidth="1"/>
    <col min="39" max="39" width="15" customWidth="1"/>
    <col min="40" max="40" width="15" customWidth="1"/>
    <col min="41" max="41" width="15" customWidth="1"/>
    <col min="42" max="42" width="15" customWidth="1"/>
    <col min="43" max="43" width="15" customWidth="1"/>
    <col min="44" max="44" width="15" customWidth="1"/>
    <col min="45" max="45" width="15" customWidth="1"/>
    <col min="46" max="46" width="15" customWidth="1"/>
    <col min="47" max="47" width="15" customWidth="1"/>
    <col min="48" max="48" width="15" customWidth="1"/>
    <col min="49" max="49" width="15" customWidth="1"/>
    <col min="50" max="50" width="15" customWidth="1"/>
    <col min="51" max="51" width="15" customWidth="1"/>
    <col min="52" max="52" width="15" customWidth="1"/>
    <col min="53" max="53" width="15" customWidth="1"/>
    <col min="54" max="54" width="15" customWidth="1"/>
    <col min="55" max="55" width="15" customWidth="1"/>
    <col min="56" max="56" width="15" customWidth="1"/>
    <col min="57" max="57" width="15" customWidth="1"/>
    <col min="58" max="58" width="15" customWidth="1"/>
    <col min="59" max="59" width="15" customWidth="1"/>
    <col min="60" max="60" width="15" customWidth="1"/>
    <col min="61" max="61" width="15" customWidth="1"/>
    <col min="62" max="62" width="15" customWidth="1"/>
    <col min="63" max="63" width="15" customWidth="1"/>
    <col min="64" max="64" width="15" customWidth="1"/>
    <col min="65" max="65" width="15" customWidth="1"/>
    <col min="66" max="66" width="15" customWidth="1"/>
    <col min="67" max="67" width="15" customWidth="1"/>
    <col min="68" max="68" width="15" customWidth="1"/>
    <col min="69" max="69" width="15" customWidth="1"/>
    <col min="70" max="70" width="15" customWidth="1"/>
    <col min="71" max="71" width="15" customWidth="1"/>
    <col min="72" max="72" width="15" customWidth="1"/>
    <col min="73" max="73" width="15" customWidth="1"/>
    <col min="74" max="74" width="15" customWidth="1"/>
    <col min="75" max="75" width="15" customWidth="1"/>
    <col min="76" max="76" width="15" customWidth="1"/>
    <col min="77" max="77" width="15" customWidth="1"/>
    <col min="78" max="78" width="15" customWidth="1"/>
    <col min="79" max="79" width="15" customWidth="1"/>
    <col min="80" max="80" width="15" customWidth="1"/>
    <col min="81" max="81" width="15" customWidth="1"/>
    <col min="82" max="82" width="15" customWidth="1"/>
    <col min="83" max="83" width="15" customWidth="1"/>
    <col min="84" max="84" width="15" customWidth="1"/>
    <col min="85" max="85" width="15" customWidth="1"/>
    <col min="86" max="86" width="15" customWidth="1"/>
    <col min="87" max="87" width="15" customWidth="1"/>
    <col min="88" max="88" width="15" customWidth="1"/>
    <col min="89" max="89" width="15" customWidth="1"/>
    <col min="90" max="90" width="15" customWidth="1"/>
    <col min="91" max="91" width="15" customWidth="1"/>
    <col min="92" max="92" width="15" customWidth="1"/>
    <col min="93" max="93" width="15" customWidth="1"/>
    <col min="94" max="94" width="15" customWidth="1"/>
    <col min="95" max="95" width="15" customWidth="1"/>
    <col min="96" max="96" width="15" customWidth="1"/>
    <col min="97" max="97" width="15" customWidth="1"/>
    <col min="98" max="98" width="15" customWidth="1"/>
    <col min="99" max="99" width="15" customWidth="1"/>
    <col min="100" max="100" width="15" customWidth="1"/>
    <col min="101" max="101" width="15" customWidth="1"/>
    <col min="102" max="102" width="15" customWidth="1"/>
    <col min="103" max="103" width="15" customWidth="1"/>
    <col min="104" max="104" width="15" customWidth="1"/>
    <col min="105" max="105" width="15" customWidth="1"/>
    <col min="106" max="106" width="15" customWidth="1"/>
    <col min="107" max="107" width="15" customWidth="1"/>
    <col min="108" max="108" width="15" customWidth="1"/>
    <col min="109" max="109" width="15" customWidth="1"/>
    <col min="110" max="110" width="15" customWidth="1"/>
    <col min="111" max="111" width="15" customWidth="1"/>
    <col min="112" max="112" width="15" customWidth="1"/>
    <col min="113" max="113" width="15" customWidth="1"/>
    <col min="114" max="114" width="15" customWidth="1"/>
    <col min="115" max="115" width="15" customWidth="1"/>
    <col min="116" max="116" width="15" customWidth="1"/>
    <col min="117" max="117" width="15" customWidth="1"/>
    <col min="118" max="118" width="15" customWidth="1"/>
    <col min="119" max="119" width="15" customWidth="1"/>
    <col min="120" max="120" width="15" customWidth="1"/>
    <col min="121" max="121" width="15" customWidth="1"/>
    <col min="122" max="122" width="15" customWidth="1"/>
    <col min="123" max="123" width="15" customWidth="1"/>
    <col min="124" max="124" width="15" customWidth="1"/>
    <col min="125" max="125" width="15" customWidth="1"/>
    <col min="126" max="126" width="15" customWidth="1"/>
    <col min="127" max="127" width="15" customWidth="1"/>
    <col min="128" max="128" width="15" customWidth="1"/>
    <col min="129" max="129" width="15" customWidth="1"/>
    <col min="130" max="130" width="15" customWidth="1"/>
    <col min="131" max="131" width="15" customWidth="1"/>
    <col min="132" max="132" width="15" customWidth="1"/>
    <col min="133" max="133" width="15" customWidth="1"/>
    <col min="134" max="134" width="15" customWidth="1"/>
    <col min="135" max="135" width="15" customWidth="1"/>
    <col min="136" max="136" width="15" customWidth="1"/>
    <col min="137" max="137" width="15" customWidth="1"/>
    <col min="138" max="138" width="15" customWidth="1"/>
    <col min="139" max="139" width="15" customWidth="1"/>
    <col min="140" max="140" width="15" customWidth="1"/>
    <col min="141" max="141" width="15" customWidth="1"/>
    <col min="142" max="142" width="15" customWidth="1"/>
    <col min="143" max="143" width="15" customWidth="1"/>
    <col min="144" max="144" width="15" customWidth="1"/>
    <col min="145" max="145" width="15" customWidth="1"/>
    <col min="146" max="146" width="15" customWidth="1"/>
    <col min="147" max="147" width="15" customWidth="1"/>
    <col min="148" max="148" width="15" customWidth="1"/>
    <col min="149" max="149" width="15" customWidth="1"/>
  </cols>
  <sheetData>
    <row r="1" spans="1:1" x14ac:dyDescent="0.2">
      <c r="A1" t="inlineStr" s="1">
        <is>
          <t>Shock</t>
        </is>
      </c>
    </row>
    <row r="2" spans="1:2" x14ac:dyDescent="0.2">
      <c r="A2" t="inlineStr" s="3">
        <is>
          <t>problem type</t>
        </is>
      </c>
      <c r="B2" t="inlineStr" s="4">
        <is>
          <t>Shock tube</t>
        </is>
      </c>
    </row>
    <row r="3" spans="1:2" x14ac:dyDescent="0.2">
      <c r="A3" t="inlineStr" s="3">
        <is>
          <t>reference</t>
        </is>
      </c>
      <c r="B3" t="inlineStr" s="6">
        <is>
          <t>RP-1311 Example 7: incident and reflected shocks</t>
        </is>
      </c>
    </row>
    <row r="4" spans="1:2" x14ac:dyDescent="0.2">
      <c r="A4" t="inlineStr" s="3">
        <is>
          <t>transport</t>
        </is>
      </c>
      <c r="B4" t="b" s="4">
        <v>0</v>
      </c>
    </row>
    <row r="5" spans="1:2" x14ac:dyDescent="0.2">
      <c r="A5" t="inlineStr" s="3">
        <is>
          <t>reflected</t>
        </is>
      </c>
      <c r="B5" t="b" s="4">
        <v>1</v>
      </c>
    </row>
    <row r="6" spans="1:2" x14ac:dyDescent="0.2">
      <c r="A6" t="inlineStr" s="3">
        <is>
          <t>incident_frozen</t>
        </is>
      </c>
      <c r="B6" t="b" s="4">
        <v>0</v>
      </c>
    </row>
    <row r="7" spans="1:2" x14ac:dyDescent="0.2">
      <c r="A7" t="inlineStr" s="3">
        <is>
          <t>reflected_frozen</t>
        </is>
      </c>
      <c r="B7" t="b" s="4">
        <v>0</v>
      </c>
    </row>
    <row r="8" spans="1:2" x14ac:dyDescent="0.2">
      <c r="A8" t="inlineStr" s="3">
        <is>
          <t>ions</t>
        </is>
      </c>
      <c r="B8" t="b" s="4">
        <v>0</v>
      </c>
    </row>
    <row r="9" spans="1:2" x14ac:dyDescent="0.2">
      <c r="A9" t="inlineStr" s="3">
        <is>
          <t>include_headers</t>
        </is>
      </c>
      <c r="B9" t="b" s="4">
        <v>0</v>
      </c>
    </row>
    <row r="11" spans="1:1" x14ac:dyDescent="0.2">
      <c r="A11" t="inlineStr" s="2">
        <is>
          <t>Reactants</t>
        </is>
      </c>
    </row>
    <row r="12" spans="1:5" x14ac:dyDescent="0.2">
      <c r="A12" t="inlineStr" s="3">
        <is>
          <t>name</t>
        </is>
      </c>
      <c r="B12" t="inlineStr" s="3">
        <is>
          <t>role</t>
        </is>
      </c>
      <c r="C12" t="inlineStr" s="3">
        <is>
          <t>base_amount</t>
        </is>
      </c>
      <c r="D12" t="inlineStr" s="3">
        <is>
          <t>basis</t>
        </is>
      </c>
      <c r="E12" t="inlineStr" s="3">
        <is>
          <t>computed weight</t>
        </is>
      </c>
    </row>
    <row r="13" spans="1:5" x14ac:dyDescent="0.2">
      <c r="A13" t="inlineStr" s="4">
        <is>
          <t>H2</t>
        </is>
      </c>
      <c r="B13" t="inlineStr" s="4">
        <is>
          <t>fuel</t>
        </is>
      </c>
      <c r="C13" s="4">
        <v>0.05</v>
      </c>
      <c r="D13" t="inlineStr" s="4">
        <is>
          <t>mole</t>
        </is>
      </c>
      <c r="E13" s="5">
        <f>INDEX(CEA_WEIGHTS_FROM_MOLES($A$12:$D$15,$C$13:$C$15),1,1)</f>
      </c>
    </row>
    <row r="14" spans="1:5" x14ac:dyDescent="0.2">
      <c r="A14" t="inlineStr" s="4">
        <is>
          <t>O2</t>
        </is>
      </c>
      <c r="B14" t="inlineStr" s="4">
        <is>
          <t>oxidizer</t>
        </is>
      </c>
      <c r="C14" s="4">
        <v>0.05</v>
      </c>
      <c r="D14" t="inlineStr" s="4">
        <is>
          <t>mole</t>
        </is>
      </c>
      <c r="E14" s="5">
        <f>INDEX(CEA_WEIGHTS_FROM_MOLES($A$12:$D$15,$C$13:$C$15),1,2)</f>
      </c>
    </row>
    <row r="15" spans="1:5" x14ac:dyDescent="0.2">
      <c r="A15" t="inlineStr" s="4">
        <is>
          <t>Ar</t>
        </is>
      </c>
      <c r="B15" t="inlineStr" s="4">
        <is>
          <t>inert</t>
        </is>
      </c>
      <c r="C15" s="4">
        <v>0.9</v>
      </c>
      <c r="D15" t="inlineStr" s="4">
        <is>
          <t>mole</t>
        </is>
      </c>
      <c r="E15" s="5">
        <f>INDEX(CEA_WEIGHTS_FROM_MOLES($A$12:$D$15,$C$13:$C$15),1,3)</f>
      </c>
    </row>
    <row r="17" spans="1:1" x14ac:dyDescent="0.2">
      <c r="A17" t="inlineStr" s="2">
        <is>
          <t>Shock controls</t>
        </is>
      </c>
    </row>
    <row r="18" spans="1:2" x14ac:dyDescent="0.2">
      <c r="A18" t="inlineStr" s="3">
        <is>
          <t>T0, K</t>
        </is>
      </c>
      <c r="B18" s="4">
        <v>300.0</v>
      </c>
    </row>
    <row r="19" spans="1:2" x14ac:dyDescent="0.2">
      <c r="A19" t="inlineStr" s="3">
        <is>
          <t>p0, mmHg</t>
        </is>
      </c>
      <c r="B19" s="4">
        <v>10.0</v>
      </c>
    </row>
    <row r="20" spans="1:2" x14ac:dyDescent="0.2">
      <c r="A20" t="inlineStr" s="3">
        <is>
          <t>p0, bar</t>
        </is>
      </c>
      <c r="B20" s="5">
        <f>CEA_PRESSURE_SI($B$19,"mmhg")</f>
      </c>
    </row>
    <row r="23" spans="1:5" x14ac:dyDescent="0.2">
      <c r="A23" t="inlineStr" s="2">
        <is>
          <t>Requested properties</t>
        </is>
      </c>
      <c r="C23" t="inlineStr" s="2">
        <is>
          <t>Optional species</t>
        </is>
      </c>
      <c r="E23" t="inlineStr" s="2">
        <is>
          <t>Notes</t>
        </is>
      </c>
    </row>
    <row r="24" spans="1:5" x14ac:dyDescent="0.2">
      <c r="A24" t="inlineStr" s="4">
        <is>
          <t>velocity</t>
        </is>
      </c>
      <c r="C24" t="inlineStr" s="4">
        <is>
          <t>H2</t>
        </is>
      </c>
      <c r="E24" t="inlineStr" s="6">
        <is>
          <t>Rows implement the six u1 velocities from RP-1311 Example 7.</t>
        </is>
      </c>
    </row>
    <row r="25" spans="1:5" x14ac:dyDescent="0.2">
      <c r="A25" t="inlineStr" s="4">
        <is>
          <t>Mach</t>
        </is>
      </c>
      <c r="C25" t="inlineStr" s="4">
        <is>
          <t>O2</t>
        </is>
      </c>
      <c r="E25" t="inlineStr" s="6">
        <is>
          <t>Weights are computed once from the fixed mole mixture and passed as explicit weights.</t>
        </is>
      </c>
    </row>
    <row r="26" spans="1:5" x14ac:dyDescent="0.2">
      <c r="A26" t="inlineStr" s="4">
        <is>
          <t>sonic_velocity</t>
        </is>
      </c>
      <c r="C26" t="inlineStr" s="4">
        <is>
          <t>Ar</t>
        </is>
      </c>
      <c r="E26" t="inlineStr" s="6">
        <is>
          <t>Output spills horizontally from the status column when opened in supported 64-bit Windows Excel.</t>
        </is>
      </c>
    </row>
    <row r="27" spans="1:3" x14ac:dyDescent="0.2">
      <c r="A27" t="inlineStr" s="4">
        <is>
          <t>P</t>
        </is>
      </c>
      <c r="C27" t="inlineStr" s="4">
        <is>
          <t>H</t>
        </is>
      </c>
    </row>
    <row r="28" spans="1:3" x14ac:dyDescent="0.2">
      <c r="A28" t="inlineStr" s="4">
        <is>
          <t>T</t>
        </is>
      </c>
      <c r="C28" t="inlineStr" s="4">
        <is>
          <t>O</t>
        </is>
      </c>
    </row>
    <row r="29" spans="1:3" x14ac:dyDescent="0.2">
      <c r="A29" t="inlineStr" s="4">
        <is>
          <t>density</t>
        </is>
      </c>
      <c r="C29" t="inlineStr" s="4">
        <is>
          <t>OH</t>
        </is>
      </c>
    </row>
    <row r="30" spans="1:3" x14ac:dyDescent="0.2">
      <c r="A30" t="inlineStr" s="4">
        <is>
          <t>enthalpy</t>
        </is>
      </c>
      <c r="C30" t="inlineStr" s="4">
        <is>
          <t>H2O</t>
        </is>
      </c>
    </row>
    <row r="31" spans="1:3" x14ac:dyDescent="0.2">
      <c r="A31" t="inlineStr" s="4">
        <is>
          <t>energy</t>
        </is>
      </c>
      <c r="C31" t="inlineStr" s="4">
        <is>
          <t>HO2</t>
        </is>
      </c>
    </row>
    <row r="32" spans="1:3" x14ac:dyDescent="0.2">
      <c r="A32" t="inlineStr" s="4">
        <is>
          <t>gibbs_energy</t>
        </is>
      </c>
      <c r="C32" t="inlineStr" s="4">
        <is>
          <t>H2O2</t>
        </is>
      </c>
    </row>
    <row r="33" spans="1:3" x14ac:dyDescent="0.2">
      <c r="A33" t="inlineStr" s="4">
        <is>
          <t>entropy</t>
        </is>
      </c>
      <c r="C33" t="inlineStr" s="4">
        <is>
          <t>O3</t>
        </is>
      </c>
    </row>
    <row r="34" spans="1:1" x14ac:dyDescent="0.2">
      <c r="A34" t="inlineStr" s="4">
        <is>
          <t>M</t>
        </is>
      </c>
    </row>
    <row r="35" spans="1:1" x14ac:dyDescent="0.2">
      <c r="A35" t="inlineStr" s="4">
        <is>
          <t>MW</t>
        </is>
      </c>
    </row>
    <row r="36" spans="1:1" x14ac:dyDescent="0.2">
      <c r="A36" t="inlineStr" s="4">
        <is>
          <t>cp_eq</t>
        </is>
      </c>
    </row>
    <row r="37" spans="1:1" x14ac:dyDescent="0.2">
      <c r="A37" t="inlineStr" s="4">
        <is>
          <t>cp_fr</t>
        </is>
      </c>
    </row>
    <row r="38" spans="1:1" x14ac:dyDescent="0.2">
      <c r="A38" t="inlineStr" s="4">
        <is>
          <t>cv_eq</t>
        </is>
      </c>
    </row>
    <row r="39" spans="1:1" x14ac:dyDescent="0.2">
      <c r="A39" t="inlineStr" s="4">
        <is>
          <t>cv_fr</t>
        </is>
      </c>
    </row>
    <row r="40" spans="1:1" x14ac:dyDescent="0.2">
      <c r="A40" t="inlineStr" s="4">
        <is>
          <t>gamma_s</t>
        </is>
      </c>
    </row>
    <row r="41" spans="1:1" x14ac:dyDescent="0.2">
      <c r="A41" t="inlineStr" s="4">
        <is>
          <t>P21</t>
        </is>
      </c>
    </row>
    <row r="42" spans="1:1" x14ac:dyDescent="0.2">
      <c r="A42" t="inlineStr" s="4">
        <is>
          <t>T21</t>
        </is>
      </c>
    </row>
    <row r="43" spans="1:1" x14ac:dyDescent="0.2">
      <c r="A43" t="inlineStr" s="4">
        <is>
          <t>M21</t>
        </is>
      </c>
    </row>
    <row r="44" spans="1:1" x14ac:dyDescent="0.2">
      <c r="A44" t="inlineStr" s="4">
        <is>
          <t>rho12</t>
        </is>
      </c>
    </row>
    <row r="45" spans="1:1" x14ac:dyDescent="0.2">
      <c r="A45" t="inlineStr" s="4">
        <is>
          <t>v2</t>
        </is>
      </c>
    </row>
    <row r="46" spans="1:1" x14ac:dyDescent="0.2">
      <c r="A46" t="inlineStr" s="4">
        <is>
          <t>P52</t>
        </is>
      </c>
    </row>
    <row r="47" spans="1:1" x14ac:dyDescent="0.2">
      <c r="A47" t="inlineStr" s="4">
        <is>
          <t>T52</t>
        </is>
      </c>
    </row>
    <row r="48" spans="1:1" x14ac:dyDescent="0.2">
      <c r="A48" t="inlineStr" s="4">
        <is>
          <t>M52</t>
        </is>
      </c>
    </row>
    <row r="49" spans="1:1" x14ac:dyDescent="0.2">
      <c r="A49" t="inlineStr" s="4">
        <is>
          <t>rho52</t>
        </is>
      </c>
    </row>
    <row r="50" spans="1:1" x14ac:dyDescent="0.2">
      <c r="A50" t="inlineStr" s="4">
        <is>
          <t>u5_p_v2</t>
        </is>
      </c>
    </row>
    <row r="56" spans="1:149" x14ac:dyDescent="0.2">
      <c r="A56" t="inlineStr" s="3">
        <is>
          <t>case</t>
        </is>
      </c>
      <c r="B56" t="inlineStr" s="3">
        <is>
          <t>u1, m/s</t>
        </is>
      </c>
      <c r="C56" t="inlineStr" s="3">
        <is>
          <t>T0, K</t>
        </is>
      </c>
      <c r="D56" t="inlineStr" s="3">
        <is>
          <t>p0, bar</t>
        </is>
      </c>
      <c r="E56" t="inlineStr" s="3">
        <is>
          <t>weights range</t>
        </is>
      </c>
      <c r="F56" t="inlineStr" s="3">
        <is>
          <t>status</t>
        </is>
      </c>
      <c r="G56" t="inlineStr" s="3">
        <is>
          <t>converged</t>
        </is>
      </c>
      <c r="H56" t="inlineStr" s="3">
        <is>
          <t>message</t>
        </is>
      </c>
      <c r="I56" t="inlineStr" s="3">
        <is>
          <t>velocity_state1</t>
        </is>
      </c>
      <c r="J56" t="inlineStr" s="3">
        <is>
          <t>velocity_state2</t>
        </is>
      </c>
      <c r="K56" t="inlineStr" s="3">
        <is>
          <t>velocity_state5</t>
        </is>
      </c>
      <c r="L56" t="inlineStr" s="3">
        <is>
          <t>Mach_state1</t>
        </is>
      </c>
      <c r="M56" t="inlineStr" s="3">
        <is>
          <t>Mach_state2</t>
        </is>
      </c>
      <c r="N56" t="inlineStr" s="3">
        <is>
          <t>Mach_state5</t>
        </is>
      </c>
      <c r="O56" t="inlineStr" s="3">
        <is>
          <t>sonic_velocity_state1</t>
        </is>
      </c>
      <c r="P56" t="inlineStr" s="3">
        <is>
          <t>sonic_velocity_state2</t>
        </is>
      </c>
      <c r="Q56" t="inlineStr" s="3">
        <is>
          <t>sonic_velocity_state5</t>
        </is>
      </c>
      <c r="R56" t="inlineStr" s="3">
        <is>
          <t>P_state1</t>
        </is>
      </c>
      <c r="S56" t="inlineStr" s="3">
        <is>
          <t>P_state2</t>
        </is>
      </c>
      <c r="T56" t="inlineStr" s="3">
        <is>
          <t>P_state5</t>
        </is>
      </c>
      <c r="U56" t="inlineStr" s="3">
        <is>
          <t>T_state1</t>
        </is>
      </c>
      <c r="V56" t="inlineStr" s="3">
        <is>
          <t>T_state2</t>
        </is>
      </c>
      <c r="W56" t="inlineStr" s="3">
        <is>
          <t>T_state5</t>
        </is>
      </c>
      <c r="X56" t="inlineStr" s="3">
        <is>
          <t>density_state1</t>
        </is>
      </c>
      <c r="Y56" t="inlineStr" s="3">
        <is>
          <t>density_state2</t>
        </is>
      </c>
      <c r="Z56" t="inlineStr" s="3">
        <is>
          <t>density_state5</t>
        </is>
      </c>
      <c r="AA56" t="inlineStr" s="3">
        <is>
          <t>enthalpy_state1</t>
        </is>
      </c>
      <c r="AB56" t="inlineStr" s="3">
        <is>
          <t>enthalpy_state2</t>
        </is>
      </c>
      <c r="AC56" t="inlineStr" s="3">
        <is>
          <t>enthalpy_state5</t>
        </is>
      </c>
      <c r="AD56" t="inlineStr" s="3">
        <is>
          <t>energy_state1</t>
        </is>
      </c>
      <c r="AE56" t="inlineStr" s="3">
        <is>
          <t>energy_state2</t>
        </is>
      </c>
      <c r="AF56" t="inlineStr" s="3">
        <is>
          <t>energy_state5</t>
        </is>
      </c>
      <c r="AG56" t="inlineStr" s="3">
        <is>
          <t>gibbs_energy_state1</t>
        </is>
      </c>
      <c r="AH56" t="inlineStr" s="3">
        <is>
          <t>gibbs_energy_state2</t>
        </is>
      </c>
      <c r="AI56" t="inlineStr" s="3">
        <is>
          <t>gibbs_energy_state5</t>
        </is>
      </c>
      <c r="AJ56" t="inlineStr" s="3">
        <is>
          <t>entropy_state1</t>
        </is>
      </c>
      <c r="AK56" t="inlineStr" s="3">
        <is>
          <t>entropy_state2</t>
        </is>
      </c>
      <c r="AL56" t="inlineStr" s="3">
        <is>
          <t>entropy_state5</t>
        </is>
      </c>
      <c r="AM56" t="inlineStr" s="3">
        <is>
          <t>M_state1</t>
        </is>
      </c>
      <c r="AN56" t="inlineStr" s="3">
        <is>
          <t>M_state2</t>
        </is>
      </c>
      <c r="AO56" t="inlineStr" s="3">
        <is>
          <t>M_state5</t>
        </is>
      </c>
      <c r="AP56" t="inlineStr" s="3">
        <is>
          <t>MW_state1</t>
        </is>
      </c>
      <c r="AQ56" t="inlineStr" s="3">
        <is>
          <t>MW_state2</t>
        </is>
      </c>
      <c r="AR56" t="inlineStr" s="3">
        <is>
          <t>MW_state5</t>
        </is>
      </c>
      <c r="AS56" t="inlineStr" s="3">
        <is>
          <t>cp_eq_state1</t>
        </is>
      </c>
      <c r="AT56" t="inlineStr" s="3">
        <is>
          <t>cp_eq_state2</t>
        </is>
      </c>
      <c r="AU56" t="inlineStr" s="3">
        <is>
          <t>cp_eq_state5</t>
        </is>
      </c>
      <c r="AV56" t="inlineStr" s="3">
        <is>
          <t>cp_fr_state1</t>
        </is>
      </c>
      <c r="AW56" t="inlineStr" s="3">
        <is>
          <t>cp_fr_state2</t>
        </is>
      </c>
      <c r="AX56" t="inlineStr" s="3">
        <is>
          <t>cp_fr_state5</t>
        </is>
      </c>
      <c r="AY56" t="inlineStr" s="3">
        <is>
          <t>cv_eq_state1</t>
        </is>
      </c>
      <c r="AZ56" t="inlineStr" s="3">
        <is>
          <t>cv_eq_state2</t>
        </is>
      </c>
      <c r="BA56" t="inlineStr" s="3">
        <is>
          <t>cv_eq_state5</t>
        </is>
      </c>
      <c r="BB56" t="inlineStr" s="3">
        <is>
          <t>cv_fr_state1</t>
        </is>
      </c>
      <c r="BC56" t="inlineStr" s="3">
        <is>
          <t>cv_fr_state2</t>
        </is>
      </c>
      <c r="BD56" t="inlineStr" s="3">
        <is>
          <t>cv_fr_state5</t>
        </is>
      </c>
      <c r="BE56" t="inlineStr" s="3">
        <is>
          <t>gamma_s_state1</t>
        </is>
      </c>
      <c r="BF56" t="inlineStr" s="3">
        <is>
          <t>gamma_s_state2</t>
        </is>
      </c>
      <c r="BG56" t="inlineStr" s="3">
        <is>
          <t>gamma_s_state5</t>
        </is>
      </c>
      <c r="BH56" t="inlineStr" s="3">
        <is>
          <t>P21_state1</t>
        </is>
      </c>
      <c r="BI56" t="inlineStr" s="3">
        <is>
          <t>P21_state2</t>
        </is>
      </c>
      <c r="BJ56" t="inlineStr" s="3">
        <is>
          <t>P21_state5</t>
        </is>
      </c>
      <c r="BK56" t="inlineStr" s="3">
        <is>
          <t>T21_state1</t>
        </is>
      </c>
      <c r="BL56" t="inlineStr" s="3">
        <is>
          <t>T21_state2</t>
        </is>
      </c>
      <c r="BM56" t="inlineStr" s="3">
        <is>
          <t>T21_state5</t>
        </is>
      </c>
      <c r="BN56" t="inlineStr" s="3">
        <is>
          <t>M21_state1</t>
        </is>
      </c>
      <c r="BO56" t="inlineStr" s="3">
        <is>
          <t>M21_state2</t>
        </is>
      </c>
      <c r="BP56" t="inlineStr" s="3">
        <is>
          <t>M21_state5</t>
        </is>
      </c>
      <c r="BQ56" t="inlineStr" s="3">
        <is>
          <t>rho12_state1</t>
        </is>
      </c>
      <c r="BR56" t="inlineStr" s="3">
        <is>
          <t>rho12_state2</t>
        </is>
      </c>
      <c r="BS56" t="inlineStr" s="3">
        <is>
          <t>rho12_state5</t>
        </is>
      </c>
      <c r="BT56" t="inlineStr" s="3">
        <is>
          <t>v2_state1</t>
        </is>
      </c>
      <c r="BU56" t="inlineStr" s="3">
        <is>
          <t>v2_state2</t>
        </is>
      </c>
      <c r="BV56" t="inlineStr" s="3">
        <is>
          <t>v2_state5</t>
        </is>
      </c>
      <c r="BW56" t="inlineStr" s="3">
        <is>
          <t>P52_state1</t>
        </is>
      </c>
      <c r="BX56" t="inlineStr" s="3">
        <is>
          <t>P52_state2</t>
        </is>
      </c>
      <c r="BY56" t="inlineStr" s="3">
        <is>
          <t>P52_state5</t>
        </is>
      </c>
      <c r="BZ56" t="inlineStr" s="3">
        <is>
          <t>T52_state1</t>
        </is>
      </c>
      <c r="CA56" t="inlineStr" s="3">
        <is>
          <t>T52_state2</t>
        </is>
      </c>
      <c r="CB56" t="inlineStr" s="3">
        <is>
          <t>T52_state5</t>
        </is>
      </c>
      <c r="CC56" t="inlineStr" s="3">
        <is>
          <t>M52_state1</t>
        </is>
      </c>
      <c r="CD56" t="inlineStr" s="3">
        <is>
          <t>M52_state2</t>
        </is>
      </c>
      <c r="CE56" t="inlineStr" s="3">
        <is>
          <t>M52_state5</t>
        </is>
      </c>
      <c r="CF56" t="inlineStr" s="3">
        <is>
          <t>rho52_state1</t>
        </is>
      </c>
      <c r="CG56" t="inlineStr" s="3">
        <is>
          <t>rho52_state2</t>
        </is>
      </c>
      <c r="CH56" t="inlineStr" s="3">
        <is>
          <t>rho52_state5</t>
        </is>
      </c>
      <c r="CI56" t="inlineStr" s="3">
        <is>
          <t>u5_p_v2_state1</t>
        </is>
      </c>
      <c r="CJ56" t="inlineStr" s="3">
        <is>
          <t>u5_p_v2_state2</t>
        </is>
      </c>
      <c r="CK56" t="inlineStr" s="3">
        <is>
          <t>u5_p_v2_state5</t>
        </is>
      </c>
      <c r="CL56" t="inlineStr" s="3">
        <is>
          <t>mass_H2_state1</t>
        </is>
      </c>
      <c r="CM56" t="inlineStr" s="3">
        <is>
          <t>mole_H2_state1</t>
        </is>
      </c>
      <c r="CN56" t="inlineStr" s="3">
        <is>
          <t>mass_H2_state2</t>
        </is>
      </c>
      <c r="CO56" t="inlineStr" s="3">
        <is>
          <t>mole_H2_state2</t>
        </is>
      </c>
      <c r="CP56" t="inlineStr" s="3">
        <is>
          <t>mass_H2_state5</t>
        </is>
      </c>
      <c r="CQ56" t="inlineStr" s="3">
        <is>
          <t>mole_H2_state5</t>
        </is>
      </c>
      <c r="CR56" t="inlineStr" s="3">
        <is>
          <t>mass_O2_state1</t>
        </is>
      </c>
      <c r="CS56" t="inlineStr" s="3">
        <is>
          <t>mole_O2_state1</t>
        </is>
      </c>
      <c r="CT56" t="inlineStr" s="3">
        <is>
          <t>mass_O2_state2</t>
        </is>
      </c>
      <c r="CU56" t="inlineStr" s="3">
        <is>
          <t>mole_O2_state2</t>
        </is>
      </c>
      <c r="CV56" t="inlineStr" s="3">
        <is>
          <t>mass_O2_state5</t>
        </is>
      </c>
      <c r="CW56" t="inlineStr" s="3">
        <is>
          <t>mole_O2_state5</t>
        </is>
      </c>
      <c r="CX56" t="inlineStr" s="3">
        <is>
          <t>mass_Ar_state1</t>
        </is>
      </c>
      <c r="CY56" t="inlineStr" s="3">
        <is>
          <t>mole_Ar_state1</t>
        </is>
      </c>
      <c r="CZ56" t="inlineStr" s="3">
        <is>
          <t>mass_Ar_state2</t>
        </is>
      </c>
      <c r="DA56" t="inlineStr" s="3">
        <is>
          <t>mole_Ar_state2</t>
        </is>
      </c>
      <c r="DB56" t="inlineStr" s="3">
        <is>
          <t>mass_Ar_state5</t>
        </is>
      </c>
      <c r="DC56" t="inlineStr" s="3">
        <is>
          <t>mole_Ar_state5</t>
        </is>
      </c>
      <c r="DD56" t="inlineStr" s="3">
        <is>
          <t>mass_H_state1</t>
        </is>
      </c>
      <c r="DE56" t="inlineStr" s="3">
        <is>
          <t>mole_H_state1</t>
        </is>
      </c>
      <c r="DF56" t="inlineStr" s="3">
        <is>
          <t>mass_H_state2</t>
        </is>
      </c>
      <c r="DG56" t="inlineStr" s="3">
        <is>
          <t>mole_H_state2</t>
        </is>
      </c>
      <c r="DH56" t="inlineStr" s="3">
        <is>
          <t>mass_H_state5</t>
        </is>
      </c>
      <c r="DI56" t="inlineStr" s="3">
        <is>
          <t>mole_H_state5</t>
        </is>
      </c>
      <c r="DJ56" t="inlineStr" s="3">
        <is>
          <t>mass_O_state1</t>
        </is>
      </c>
      <c r="DK56" t="inlineStr" s="3">
        <is>
          <t>mole_O_state1</t>
        </is>
      </c>
      <c r="DL56" t="inlineStr" s="3">
        <is>
          <t>mass_O_state2</t>
        </is>
      </c>
      <c r="DM56" t="inlineStr" s="3">
        <is>
          <t>mole_O_state2</t>
        </is>
      </c>
      <c r="DN56" t="inlineStr" s="3">
        <is>
          <t>mass_O_state5</t>
        </is>
      </c>
      <c r="DO56" t="inlineStr" s="3">
        <is>
          <t>mole_O_state5</t>
        </is>
      </c>
      <c r="DP56" t="inlineStr" s="3">
        <is>
          <t>mass_OH_state1</t>
        </is>
      </c>
      <c r="DQ56" t="inlineStr" s="3">
        <is>
          <t>mole_OH_state1</t>
        </is>
      </c>
      <c r="DR56" t="inlineStr" s="3">
        <is>
          <t>mass_OH_state2</t>
        </is>
      </c>
      <c r="DS56" t="inlineStr" s="3">
        <is>
          <t>mole_OH_state2</t>
        </is>
      </c>
      <c r="DT56" t="inlineStr" s="3">
        <is>
          <t>mass_OH_state5</t>
        </is>
      </c>
      <c r="DU56" t="inlineStr" s="3">
        <is>
          <t>mole_OH_state5</t>
        </is>
      </c>
      <c r="DV56" t="inlineStr" s="3">
        <is>
          <t>mass_H2O_state1</t>
        </is>
      </c>
      <c r="DW56" t="inlineStr" s="3">
        <is>
          <t>mole_H2O_state1</t>
        </is>
      </c>
      <c r="DX56" t="inlineStr" s="3">
        <is>
          <t>mass_H2O_state2</t>
        </is>
      </c>
      <c r="DY56" t="inlineStr" s="3">
        <is>
          <t>mole_H2O_state2</t>
        </is>
      </c>
      <c r="DZ56" t="inlineStr" s="3">
        <is>
          <t>mass_H2O_state5</t>
        </is>
      </c>
      <c r="EA56" t="inlineStr" s="3">
        <is>
          <t>mole_H2O_state5</t>
        </is>
      </c>
      <c r="EB56" t="inlineStr" s="3">
        <is>
          <t>mass_HO2_state1</t>
        </is>
      </c>
      <c r="EC56" t="inlineStr" s="3">
        <is>
          <t>mole_HO2_state1</t>
        </is>
      </c>
      <c r="ED56" t="inlineStr" s="3">
        <is>
          <t>mass_HO2_state2</t>
        </is>
      </c>
      <c r="EE56" t="inlineStr" s="3">
        <is>
          <t>mole_HO2_state2</t>
        </is>
      </c>
      <c r="EF56" t="inlineStr" s="3">
        <is>
          <t>mass_HO2_state5</t>
        </is>
      </c>
      <c r="EG56" t="inlineStr" s="3">
        <is>
          <t>mole_HO2_state5</t>
        </is>
      </c>
      <c r="EH56" t="inlineStr" s="3">
        <is>
          <t>mass_H2O2_state1</t>
        </is>
      </c>
      <c r="EI56" t="inlineStr" s="3">
        <is>
          <t>mole_H2O2_state1</t>
        </is>
      </c>
      <c r="EJ56" t="inlineStr" s="3">
        <is>
          <t>mass_H2O2_state2</t>
        </is>
      </c>
      <c r="EK56" t="inlineStr" s="3">
        <is>
          <t>mole_H2O2_state2</t>
        </is>
      </c>
      <c r="EL56" t="inlineStr" s="3">
        <is>
          <t>mass_H2O2_state5</t>
        </is>
      </c>
      <c r="EM56" t="inlineStr" s="3">
        <is>
          <t>mole_H2O2_state5</t>
        </is>
      </c>
      <c r="EN56" t="inlineStr" s="3">
        <is>
          <t>mass_O3_state1</t>
        </is>
      </c>
      <c r="EO56" t="inlineStr" s="3">
        <is>
          <t>mole_O3_state1</t>
        </is>
      </c>
      <c r="EP56" t="inlineStr" s="3">
        <is>
          <t>mass_O3_state2</t>
        </is>
      </c>
      <c r="EQ56" t="inlineStr" s="3">
        <is>
          <t>mole_O3_state2</t>
        </is>
      </c>
      <c r="ER56" t="inlineStr" s="3">
        <is>
          <t>mass_O3_state5</t>
        </is>
      </c>
      <c r="ES56" t="inlineStr" s="3">
        <is>
          <t>mole_O3_state5</t>
        </is>
      </c>
    </row>
    <row r="57" spans="1:149" x14ac:dyDescent="0.2">
      <c r="A57" s="9">
        <v>1</v>
      </c>
      <c r="B57" s="4">
        <v>1100</v>
      </c>
      <c r="C57" s="5">
        <f>$B$18</f>
      </c>
      <c r="D57" s="5">
        <f>$B$20</f>
      </c>
      <c r="E57" t="inlineStr" s="6">
        <is>
          <t>$E$13:$E$15</t>
        </is>
      </c>
      <c r="F57" s="5">
        <f>INDEX(CEA_SHOCK_SOLVE($A$12:$D$15,C57,D57,B57,,,,,,$E$13:$E$15,$B$5,$B$6,$B$7,,,$A$24:$A$50,$C$24:$C$33,$B$4,$B$8,$B$9),1,1)</f>
      </c>
      <c r="G57" s="5">
        <f>INDEX(CEA_SHOCK_SOLVE($A$12:$D$15,C57,D57,B57,,,,,,$E$13:$E$15,$B$5,$B$6,$B$7,,,$A$24:$A$50,$C$24:$C$33,$B$4,$B$8,$B$9),1,2)</f>
      </c>
      <c r="H57" s="5">
        <f>INDEX(CEA_SHOCK_SOLVE($A$12:$D$15,C57,D57,B57,,,,,,$E$13:$E$15,$B$5,$B$6,$B$7,,,$A$24:$A$50,$C$24:$C$33,$B$4,$B$8,$B$9),1,3)</f>
      </c>
      <c r="I57" s="5">
        <f>INDEX(CEA_SHOCK_SOLVE($A$12:$D$15,C57,D57,B57,,,,,,$E$13:$E$15,$B$5,$B$6,$B$7,,,$A$24:$A$50,$C$24:$C$33,$B$4,$B$8,$B$9),1,4)</f>
      </c>
      <c r="J57" s="5">
        <f>INDEX(CEA_SHOCK_SOLVE($A$12:$D$15,C57,D57,B57,,,,,,$E$13:$E$15,$B$5,$B$6,$B$7,,,$A$24:$A$50,$C$24:$C$33,$B$4,$B$8,$B$9),1,5)</f>
      </c>
      <c r="K57" s="5">
        <f>INDEX(CEA_SHOCK_SOLVE($A$12:$D$15,C57,D57,B57,,,,,,$E$13:$E$15,$B$5,$B$6,$B$7,,,$A$24:$A$50,$C$24:$C$33,$B$4,$B$8,$B$9),1,6)</f>
      </c>
      <c r="L57" s="5">
        <f>INDEX(CEA_SHOCK_SOLVE($A$12:$D$15,C57,D57,B57,,,,,,$E$13:$E$15,$B$5,$B$6,$B$7,,,$A$24:$A$50,$C$24:$C$33,$B$4,$B$8,$B$9),1,7)</f>
      </c>
      <c r="M57" s="5">
        <f>INDEX(CEA_SHOCK_SOLVE($A$12:$D$15,C57,D57,B57,,,,,,$E$13:$E$15,$B$5,$B$6,$B$7,,,$A$24:$A$50,$C$24:$C$33,$B$4,$B$8,$B$9),1,8)</f>
      </c>
      <c r="N57" s="5">
        <f>INDEX(CEA_SHOCK_SOLVE($A$12:$D$15,C57,D57,B57,,,,,,$E$13:$E$15,$B$5,$B$6,$B$7,,,$A$24:$A$50,$C$24:$C$33,$B$4,$B$8,$B$9),1,9)</f>
      </c>
      <c r="O57" s="5">
        <f>INDEX(CEA_SHOCK_SOLVE($A$12:$D$15,C57,D57,B57,,,,,,$E$13:$E$15,$B$5,$B$6,$B$7,,,$A$24:$A$50,$C$24:$C$33,$B$4,$B$8,$B$9),1,10)</f>
      </c>
      <c r="P57" s="5">
        <f>INDEX(CEA_SHOCK_SOLVE($A$12:$D$15,C57,D57,B57,,,,,,$E$13:$E$15,$B$5,$B$6,$B$7,,,$A$24:$A$50,$C$24:$C$33,$B$4,$B$8,$B$9),1,11)</f>
      </c>
      <c r="Q57" s="5">
        <f>INDEX(CEA_SHOCK_SOLVE($A$12:$D$15,C57,D57,B57,,,,,,$E$13:$E$15,$B$5,$B$6,$B$7,,,$A$24:$A$50,$C$24:$C$33,$B$4,$B$8,$B$9),1,12)</f>
      </c>
      <c r="R57" s="5">
        <f>INDEX(CEA_SHOCK_SOLVE($A$12:$D$15,C57,D57,B57,,,,,,$E$13:$E$15,$B$5,$B$6,$B$7,,,$A$24:$A$50,$C$24:$C$33,$B$4,$B$8,$B$9),1,13)</f>
      </c>
      <c r="S57" s="5">
        <f>INDEX(CEA_SHOCK_SOLVE($A$12:$D$15,C57,D57,B57,,,,,,$E$13:$E$15,$B$5,$B$6,$B$7,,,$A$24:$A$50,$C$24:$C$33,$B$4,$B$8,$B$9),1,14)</f>
      </c>
      <c r="T57" s="5">
        <f>INDEX(CEA_SHOCK_SOLVE($A$12:$D$15,C57,D57,B57,,,,,,$E$13:$E$15,$B$5,$B$6,$B$7,,,$A$24:$A$50,$C$24:$C$33,$B$4,$B$8,$B$9),1,15)</f>
      </c>
      <c r="U57" s="5">
        <f>INDEX(CEA_SHOCK_SOLVE($A$12:$D$15,C57,D57,B57,,,,,,$E$13:$E$15,$B$5,$B$6,$B$7,,,$A$24:$A$50,$C$24:$C$33,$B$4,$B$8,$B$9),1,16)</f>
      </c>
      <c r="V57" s="5">
        <f>INDEX(CEA_SHOCK_SOLVE($A$12:$D$15,C57,D57,B57,,,,,,$E$13:$E$15,$B$5,$B$6,$B$7,,,$A$24:$A$50,$C$24:$C$33,$B$4,$B$8,$B$9),1,17)</f>
      </c>
      <c r="W57" s="5">
        <f>INDEX(CEA_SHOCK_SOLVE($A$12:$D$15,C57,D57,B57,,,,,,$E$13:$E$15,$B$5,$B$6,$B$7,,,$A$24:$A$50,$C$24:$C$33,$B$4,$B$8,$B$9),1,18)</f>
      </c>
      <c r="X57" s="5">
        <f>INDEX(CEA_SHOCK_SOLVE($A$12:$D$15,C57,D57,B57,,,,,,$E$13:$E$15,$B$5,$B$6,$B$7,,,$A$24:$A$50,$C$24:$C$33,$B$4,$B$8,$B$9),1,19)</f>
      </c>
      <c r="Y57" s="5">
        <f>INDEX(CEA_SHOCK_SOLVE($A$12:$D$15,C57,D57,B57,,,,,,$E$13:$E$15,$B$5,$B$6,$B$7,,,$A$24:$A$50,$C$24:$C$33,$B$4,$B$8,$B$9),1,20)</f>
      </c>
      <c r="Z57" s="5">
        <f>INDEX(CEA_SHOCK_SOLVE($A$12:$D$15,C57,D57,B57,,,,,,$E$13:$E$15,$B$5,$B$6,$B$7,,,$A$24:$A$50,$C$24:$C$33,$B$4,$B$8,$B$9),1,21)</f>
      </c>
      <c r="AA57" s="5">
        <f>INDEX(CEA_SHOCK_SOLVE($A$12:$D$15,C57,D57,B57,,,,,,$E$13:$E$15,$B$5,$B$6,$B$7,,,$A$24:$A$50,$C$24:$C$33,$B$4,$B$8,$B$9),1,22)</f>
      </c>
      <c r="AB57" s="5">
        <f>INDEX(CEA_SHOCK_SOLVE($A$12:$D$15,C57,D57,B57,,,,,,$E$13:$E$15,$B$5,$B$6,$B$7,,,$A$24:$A$50,$C$24:$C$33,$B$4,$B$8,$B$9),1,23)</f>
      </c>
      <c r="AC57" s="5">
        <f>INDEX(CEA_SHOCK_SOLVE($A$12:$D$15,C57,D57,B57,,,,,,$E$13:$E$15,$B$5,$B$6,$B$7,,,$A$24:$A$50,$C$24:$C$33,$B$4,$B$8,$B$9),1,24)</f>
      </c>
      <c r="AD57" s="5">
        <f>INDEX(CEA_SHOCK_SOLVE($A$12:$D$15,C57,D57,B57,,,,,,$E$13:$E$15,$B$5,$B$6,$B$7,,,$A$24:$A$50,$C$24:$C$33,$B$4,$B$8,$B$9),1,25)</f>
      </c>
      <c r="AE57" s="5">
        <f>INDEX(CEA_SHOCK_SOLVE($A$12:$D$15,C57,D57,B57,,,,,,$E$13:$E$15,$B$5,$B$6,$B$7,,,$A$24:$A$50,$C$24:$C$33,$B$4,$B$8,$B$9),1,26)</f>
      </c>
      <c r="AF57" s="5">
        <f>INDEX(CEA_SHOCK_SOLVE($A$12:$D$15,C57,D57,B57,,,,,,$E$13:$E$15,$B$5,$B$6,$B$7,,,$A$24:$A$50,$C$24:$C$33,$B$4,$B$8,$B$9),1,27)</f>
      </c>
      <c r="AG57" s="5">
        <f>INDEX(CEA_SHOCK_SOLVE($A$12:$D$15,C57,D57,B57,,,,,,$E$13:$E$15,$B$5,$B$6,$B$7,,,$A$24:$A$50,$C$24:$C$33,$B$4,$B$8,$B$9),1,28)</f>
      </c>
      <c r="AH57" s="5">
        <f>INDEX(CEA_SHOCK_SOLVE($A$12:$D$15,C57,D57,B57,,,,,,$E$13:$E$15,$B$5,$B$6,$B$7,,,$A$24:$A$50,$C$24:$C$33,$B$4,$B$8,$B$9),1,29)</f>
      </c>
      <c r="AI57" s="5">
        <f>INDEX(CEA_SHOCK_SOLVE($A$12:$D$15,C57,D57,B57,,,,,,$E$13:$E$15,$B$5,$B$6,$B$7,,,$A$24:$A$50,$C$24:$C$33,$B$4,$B$8,$B$9),1,30)</f>
      </c>
      <c r="AJ57" s="5">
        <f>INDEX(CEA_SHOCK_SOLVE($A$12:$D$15,C57,D57,B57,,,,,,$E$13:$E$15,$B$5,$B$6,$B$7,,,$A$24:$A$50,$C$24:$C$33,$B$4,$B$8,$B$9),1,31)</f>
      </c>
      <c r="AK57" s="5">
        <f>INDEX(CEA_SHOCK_SOLVE($A$12:$D$15,C57,D57,B57,,,,,,$E$13:$E$15,$B$5,$B$6,$B$7,,,$A$24:$A$50,$C$24:$C$33,$B$4,$B$8,$B$9),1,32)</f>
      </c>
      <c r="AL57" s="5">
        <f>INDEX(CEA_SHOCK_SOLVE($A$12:$D$15,C57,D57,B57,,,,,,$E$13:$E$15,$B$5,$B$6,$B$7,,,$A$24:$A$50,$C$24:$C$33,$B$4,$B$8,$B$9),1,33)</f>
      </c>
      <c r="AM57" s="5">
        <f>INDEX(CEA_SHOCK_SOLVE($A$12:$D$15,C57,D57,B57,,,,,,$E$13:$E$15,$B$5,$B$6,$B$7,,,$A$24:$A$50,$C$24:$C$33,$B$4,$B$8,$B$9),1,34)</f>
      </c>
      <c r="AN57" s="5">
        <f>INDEX(CEA_SHOCK_SOLVE($A$12:$D$15,C57,D57,B57,,,,,,$E$13:$E$15,$B$5,$B$6,$B$7,,,$A$24:$A$50,$C$24:$C$33,$B$4,$B$8,$B$9),1,35)</f>
      </c>
      <c r="AO57" s="5">
        <f>INDEX(CEA_SHOCK_SOLVE($A$12:$D$15,C57,D57,B57,,,,,,$E$13:$E$15,$B$5,$B$6,$B$7,,,$A$24:$A$50,$C$24:$C$33,$B$4,$B$8,$B$9),1,36)</f>
      </c>
      <c r="AP57" s="5">
        <f>INDEX(CEA_SHOCK_SOLVE($A$12:$D$15,C57,D57,B57,,,,,,$E$13:$E$15,$B$5,$B$6,$B$7,,,$A$24:$A$50,$C$24:$C$33,$B$4,$B$8,$B$9),1,37)</f>
      </c>
      <c r="AQ57" s="5">
        <f>INDEX(CEA_SHOCK_SOLVE($A$12:$D$15,C57,D57,B57,,,,,,$E$13:$E$15,$B$5,$B$6,$B$7,,,$A$24:$A$50,$C$24:$C$33,$B$4,$B$8,$B$9),1,38)</f>
      </c>
      <c r="AR57" s="5">
        <f>INDEX(CEA_SHOCK_SOLVE($A$12:$D$15,C57,D57,B57,,,,,,$E$13:$E$15,$B$5,$B$6,$B$7,,,$A$24:$A$50,$C$24:$C$33,$B$4,$B$8,$B$9),1,39)</f>
      </c>
      <c r="AS57" s="5">
        <f>INDEX(CEA_SHOCK_SOLVE($A$12:$D$15,C57,D57,B57,,,,,,$E$13:$E$15,$B$5,$B$6,$B$7,,,$A$24:$A$50,$C$24:$C$33,$B$4,$B$8,$B$9),1,40)</f>
      </c>
      <c r="AT57" s="5">
        <f>INDEX(CEA_SHOCK_SOLVE($A$12:$D$15,C57,D57,B57,,,,,,$E$13:$E$15,$B$5,$B$6,$B$7,,,$A$24:$A$50,$C$24:$C$33,$B$4,$B$8,$B$9),1,41)</f>
      </c>
      <c r="AU57" s="5">
        <f>INDEX(CEA_SHOCK_SOLVE($A$12:$D$15,C57,D57,B57,,,,,,$E$13:$E$15,$B$5,$B$6,$B$7,,,$A$24:$A$50,$C$24:$C$33,$B$4,$B$8,$B$9),1,42)</f>
      </c>
      <c r="AV57" s="5">
        <f>INDEX(CEA_SHOCK_SOLVE($A$12:$D$15,C57,D57,B57,,,,,,$E$13:$E$15,$B$5,$B$6,$B$7,,,$A$24:$A$50,$C$24:$C$33,$B$4,$B$8,$B$9),1,43)</f>
      </c>
      <c r="AW57" s="5">
        <f>INDEX(CEA_SHOCK_SOLVE($A$12:$D$15,C57,D57,B57,,,,,,$E$13:$E$15,$B$5,$B$6,$B$7,,,$A$24:$A$50,$C$24:$C$33,$B$4,$B$8,$B$9),1,44)</f>
      </c>
      <c r="AX57" s="5">
        <f>INDEX(CEA_SHOCK_SOLVE($A$12:$D$15,C57,D57,B57,,,,,,$E$13:$E$15,$B$5,$B$6,$B$7,,,$A$24:$A$50,$C$24:$C$33,$B$4,$B$8,$B$9),1,45)</f>
      </c>
      <c r="AY57" s="5">
        <f>INDEX(CEA_SHOCK_SOLVE($A$12:$D$15,C57,D57,B57,,,,,,$E$13:$E$15,$B$5,$B$6,$B$7,,,$A$24:$A$50,$C$24:$C$33,$B$4,$B$8,$B$9),1,46)</f>
      </c>
      <c r="AZ57" s="5">
        <f>INDEX(CEA_SHOCK_SOLVE($A$12:$D$15,C57,D57,B57,,,,,,$E$13:$E$15,$B$5,$B$6,$B$7,,,$A$24:$A$50,$C$24:$C$33,$B$4,$B$8,$B$9),1,47)</f>
      </c>
      <c r="BA57" s="5">
        <f>INDEX(CEA_SHOCK_SOLVE($A$12:$D$15,C57,D57,B57,,,,,,$E$13:$E$15,$B$5,$B$6,$B$7,,,$A$24:$A$50,$C$24:$C$33,$B$4,$B$8,$B$9),1,48)</f>
      </c>
      <c r="BB57" s="5">
        <f>INDEX(CEA_SHOCK_SOLVE($A$12:$D$15,C57,D57,B57,,,,,,$E$13:$E$15,$B$5,$B$6,$B$7,,,$A$24:$A$50,$C$24:$C$33,$B$4,$B$8,$B$9),1,49)</f>
      </c>
      <c r="BC57" s="5">
        <f>INDEX(CEA_SHOCK_SOLVE($A$12:$D$15,C57,D57,B57,,,,,,$E$13:$E$15,$B$5,$B$6,$B$7,,,$A$24:$A$50,$C$24:$C$33,$B$4,$B$8,$B$9),1,50)</f>
      </c>
      <c r="BD57" s="5">
        <f>INDEX(CEA_SHOCK_SOLVE($A$12:$D$15,C57,D57,B57,,,,,,$E$13:$E$15,$B$5,$B$6,$B$7,,,$A$24:$A$50,$C$24:$C$33,$B$4,$B$8,$B$9),1,51)</f>
      </c>
      <c r="BE57" s="5">
        <f>INDEX(CEA_SHOCK_SOLVE($A$12:$D$15,C57,D57,B57,,,,,,$E$13:$E$15,$B$5,$B$6,$B$7,,,$A$24:$A$50,$C$24:$C$33,$B$4,$B$8,$B$9),1,52)</f>
      </c>
      <c r="BF57" s="5">
        <f>INDEX(CEA_SHOCK_SOLVE($A$12:$D$15,C57,D57,B57,,,,,,$E$13:$E$15,$B$5,$B$6,$B$7,,,$A$24:$A$50,$C$24:$C$33,$B$4,$B$8,$B$9),1,53)</f>
      </c>
      <c r="BG57" s="5">
        <f>INDEX(CEA_SHOCK_SOLVE($A$12:$D$15,C57,D57,B57,,,,,,$E$13:$E$15,$B$5,$B$6,$B$7,,,$A$24:$A$50,$C$24:$C$33,$B$4,$B$8,$B$9),1,54)</f>
      </c>
      <c r="BH57" s="5">
        <f>INDEX(CEA_SHOCK_SOLVE($A$12:$D$15,C57,D57,B57,,,,,,$E$13:$E$15,$B$5,$B$6,$B$7,,,$A$24:$A$50,$C$24:$C$33,$B$4,$B$8,$B$9),1,55)</f>
      </c>
      <c r="BI57" s="5">
        <f>INDEX(CEA_SHOCK_SOLVE($A$12:$D$15,C57,D57,B57,,,,,,$E$13:$E$15,$B$5,$B$6,$B$7,,,$A$24:$A$50,$C$24:$C$33,$B$4,$B$8,$B$9),1,56)</f>
      </c>
      <c r="BJ57" s="5">
        <f>INDEX(CEA_SHOCK_SOLVE($A$12:$D$15,C57,D57,B57,,,,,,$E$13:$E$15,$B$5,$B$6,$B$7,,,$A$24:$A$50,$C$24:$C$33,$B$4,$B$8,$B$9),1,57)</f>
      </c>
      <c r="BK57" s="5">
        <f>INDEX(CEA_SHOCK_SOLVE($A$12:$D$15,C57,D57,B57,,,,,,$E$13:$E$15,$B$5,$B$6,$B$7,,,$A$24:$A$50,$C$24:$C$33,$B$4,$B$8,$B$9),1,58)</f>
      </c>
      <c r="BL57" s="5">
        <f>INDEX(CEA_SHOCK_SOLVE($A$12:$D$15,C57,D57,B57,,,,,,$E$13:$E$15,$B$5,$B$6,$B$7,,,$A$24:$A$50,$C$24:$C$33,$B$4,$B$8,$B$9),1,59)</f>
      </c>
      <c r="BM57" s="5">
        <f>INDEX(CEA_SHOCK_SOLVE($A$12:$D$15,C57,D57,B57,,,,,,$E$13:$E$15,$B$5,$B$6,$B$7,,,$A$24:$A$50,$C$24:$C$33,$B$4,$B$8,$B$9),1,60)</f>
      </c>
      <c r="BN57" s="5">
        <f>INDEX(CEA_SHOCK_SOLVE($A$12:$D$15,C57,D57,B57,,,,,,$E$13:$E$15,$B$5,$B$6,$B$7,,,$A$24:$A$50,$C$24:$C$33,$B$4,$B$8,$B$9),1,61)</f>
      </c>
      <c r="BO57" s="5">
        <f>INDEX(CEA_SHOCK_SOLVE($A$12:$D$15,C57,D57,B57,,,,,,$E$13:$E$15,$B$5,$B$6,$B$7,,,$A$24:$A$50,$C$24:$C$33,$B$4,$B$8,$B$9),1,62)</f>
      </c>
      <c r="BP57" s="5">
        <f>INDEX(CEA_SHOCK_SOLVE($A$12:$D$15,C57,D57,B57,,,,,,$E$13:$E$15,$B$5,$B$6,$B$7,,,$A$24:$A$50,$C$24:$C$33,$B$4,$B$8,$B$9),1,63)</f>
      </c>
      <c r="BQ57" s="5">
        <f>INDEX(CEA_SHOCK_SOLVE($A$12:$D$15,C57,D57,B57,,,,,,$E$13:$E$15,$B$5,$B$6,$B$7,,,$A$24:$A$50,$C$24:$C$33,$B$4,$B$8,$B$9),1,64)</f>
      </c>
      <c r="BR57" s="5">
        <f>INDEX(CEA_SHOCK_SOLVE($A$12:$D$15,C57,D57,B57,,,,,,$E$13:$E$15,$B$5,$B$6,$B$7,,,$A$24:$A$50,$C$24:$C$33,$B$4,$B$8,$B$9),1,65)</f>
      </c>
      <c r="BS57" s="5">
        <f>INDEX(CEA_SHOCK_SOLVE($A$12:$D$15,C57,D57,B57,,,,,,$E$13:$E$15,$B$5,$B$6,$B$7,,,$A$24:$A$50,$C$24:$C$33,$B$4,$B$8,$B$9),1,66)</f>
      </c>
      <c r="BT57" s="5">
        <f>INDEX(CEA_SHOCK_SOLVE($A$12:$D$15,C57,D57,B57,,,,,,$E$13:$E$15,$B$5,$B$6,$B$7,,,$A$24:$A$50,$C$24:$C$33,$B$4,$B$8,$B$9),1,67)</f>
      </c>
      <c r="BU57" s="5">
        <f>INDEX(CEA_SHOCK_SOLVE($A$12:$D$15,C57,D57,B57,,,,,,$E$13:$E$15,$B$5,$B$6,$B$7,,,$A$24:$A$50,$C$24:$C$33,$B$4,$B$8,$B$9),1,68)</f>
      </c>
      <c r="BV57" s="5">
        <f>INDEX(CEA_SHOCK_SOLVE($A$12:$D$15,C57,D57,B57,,,,,,$E$13:$E$15,$B$5,$B$6,$B$7,,,$A$24:$A$50,$C$24:$C$33,$B$4,$B$8,$B$9),1,69)</f>
      </c>
      <c r="BW57" s="5">
        <f>INDEX(CEA_SHOCK_SOLVE($A$12:$D$15,C57,D57,B57,,,,,,$E$13:$E$15,$B$5,$B$6,$B$7,,,$A$24:$A$50,$C$24:$C$33,$B$4,$B$8,$B$9),1,70)</f>
      </c>
      <c r="BX57" s="5">
        <f>INDEX(CEA_SHOCK_SOLVE($A$12:$D$15,C57,D57,B57,,,,,,$E$13:$E$15,$B$5,$B$6,$B$7,,,$A$24:$A$50,$C$24:$C$33,$B$4,$B$8,$B$9),1,71)</f>
      </c>
      <c r="BY57" s="5">
        <f>INDEX(CEA_SHOCK_SOLVE($A$12:$D$15,C57,D57,B57,,,,,,$E$13:$E$15,$B$5,$B$6,$B$7,,,$A$24:$A$50,$C$24:$C$33,$B$4,$B$8,$B$9),1,72)</f>
      </c>
      <c r="BZ57" s="5">
        <f>INDEX(CEA_SHOCK_SOLVE($A$12:$D$15,C57,D57,B57,,,,,,$E$13:$E$15,$B$5,$B$6,$B$7,,,$A$24:$A$50,$C$24:$C$33,$B$4,$B$8,$B$9),1,73)</f>
      </c>
      <c r="CA57" s="5">
        <f>INDEX(CEA_SHOCK_SOLVE($A$12:$D$15,C57,D57,B57,,,,,,$E$13:$E$15,$B$5,$B$6,$B$7,,,$A$24:$A$50,$C$24:$C$33,$B$4,$B$8,$B$9),1,74)</f>
      </c>
      <c r="CB57" s="5">
        <f>INDEX(CEA_SHOCK_SOLVE($A$12:$D$15,C57,D57,B57,,,,,,$E$13:$E$15,$B$5,$B$6,$B$7,,,$A$24:$A$50,$C$24:$C$33,$B$4,$B$8,$B$9),1,75)</f>
      </c>
      <c r="CC57" s="5">
        <f>INDEX(CEA_SHOCK_SOLVE($A$12:$D$15,C57,D57,B57,,,,,,$E$13:$E$15,$B$5,$B$6,$B$7,,,$A$24:$A$50,$C$24:$C$33,$B$4,$B$8,$B$9),1,76)</f>
      </c>
      <c r="CD57" s="5">
        <f>INDEX(CEA_SHOCK_SOLVE($A$12:$D$15,C57,D57,B57,,,,,,$E$13:$E$15,$B$5,$B$6,$B$7,,,$A$24:$A$50,$C$24:$C$33,$B$4,$B$8,$B$9),1,77)</f>
      </c>
      <c r="CE57" s="5">
        <f>INDEX(CEA_SHOCK_SOLVE($A$12:$D$15,C57,D57,B57,,,,,,$E$13:$E$15,$B$5,$B$6,$B$7,,,$A$24:$A$50,$C$24:$C$33,$B$4,$B$8,$B$9),1,78)</f>
      </c>
      <c r="CF57" s="5">
        <f>INDEX(CEA_SHOCK_SOLVE($A$12:$D$15,C57,D57,B57,,,,,,$E$13:$E$15,$B$5,$B$6,$B$7,,,$A$24:$A$50,$C$24:$C$33,$B$4,$B$8,$B$9),1,79)</f>
      </c>
      <c r="CG57" s="5">
        <f>INDEX(CEA_SHOCK_SOLVE($A$12:$D$15,C57,D57,B57,,,,,,$E$13:$E$15,$B$5,$B$6,$B$7,,,$A$24:$A$50,$C$24:$C$33,$B$4,$B$8,$B$9),1,80)</f>
      </c>
      <c r="CH57" s="5">
        <f>INDEX(CEA_SHOCK_SOLVE($A$12:$D$15,C57,D57,B57,,,,,,$E$13:$E$15,$B$5,$B$6,$B$7,,,$A$24:$A$50,$C$24:$C$33,$B$4,$B$8,$B$9),1,81)</f>
      </c>
      <c r="CI57" s="5">
        <f>INDEX(CEA_SHOCK_SOLVE($A$12:$D$15,C57,D57,B57,,,,,,$E$13:$E$15,$B$5,$B$6,$B$7,,,$A$24:$A$50,$C$24:$C$33,$B$4,$B$8,$B$9),1,82)</f>
      </c>
      <c r="CJ57" s="5">
        <f>INDEX(CEA_SHOCK_SOLVE($A$12:$D$15,C57,D57,B57,,,,,,$E$13:$E$15,$B$5,$B$6,$B$7,,,$A$24:$A$50,$C$24:$C$33,$B$4,$B$8,$B$9),1,83)</f>
      </c>
      <c r="CK57" s="5">
        <f>INDEX(CEA_SHOCK_SOLVE($A$12:$D$15,C57,D57,B57,,,,,,$E$13:$E$15,$B$5,$B$6,$B$7,,,$A$24:$A$50,$C$24:$C$33,$B$4,$B$8,$B$9),1,84)</f>
      </c>
      <c r="CL57" s="5">
        <f>INDEX(CEA_SHOCK_SOLVE($A$12:$D$15,C57,D57,B57,,,,,,$E$13:$E$15,$B$5,$B$6,$B$7,,,$A$24:$A$50,$C$24:$C$33,$B$4,$B$8,$B$9),1,85)</f>
      </c>
      <c r="CM57" s="5">
        <f>INDEX(CEA_SHOCK_SOLVE($A$12:$D$15,C57,D57,B57,,,,,,$E$13:$E$15,$B$5,$B$6,$B$7,,,$A$24:$A$50,$C$24:$C$33,$B$4,$B$8,$B$9),1,86)</f>
      </c>
      <c r="CN57" s="5">
        <f>INDEX(CEA_SHOCK_SOLVE($A$12:$D$15,C57,D57,B57,,,,,,$E$13:$E$15,$B$5,$B$6,$B$7,,,$A$24:$A$50,$C$24:$C$33,$B$4,$B$8,$B$9),1,87)</f>
      </c>
      <c r="CO57" s="5">
        <f>INDEX(CEA_SHOCK_SOLVE($A$12:$D$15,C57,D57,B57,,,,,,$E$13:$E$15,$B$5,$B$6,$B$7,,,$A$24:$A$50,$C$24:$C$33,$B$4,$B$8,$B$9),1,88)</f>
      </c>
      <c r="CP57" s="5">
        <f>INDEX(CEA_SHOCK_SOLVE($A$12:$D$15,C57,D57,B57,,,,,,$E$13:$E$15,$B$5,$B$6,$B$7,,,$A$24:$A$50,$C$24:$C$33,$B$4,$B$8,$B$9),1,89)</f>
      </c>
      <c r="CQ57" s="5">
        <f>INDEX(CEA_SHOCK_SOLVE($A$12:$D$15,C57,D57,B57,,,,,,$E$13:$E$15,$B$5,$B$6,$B$7,,,$A$24:$A$50,$C$24:$C$33,$B$4,$B$8,$B$9),1,90)</f>
      </c>
      <c r="CR57" s="5">
        <f>INDEX(CEA_SHOCK_SOLVE($A$12:$D$15,C57,D57,B57,,,,,,$E$13:$E$15,$B$5,$B$6,$B$7,,,$A$24:$A$50,$C$24:$C$33,$B$4,$B$8,$B$9),1,91)</f>
      </c>
      <c r="CS57" s="5">
        <f>INDEX(CEA_SHOCK_SOLVE($A$12:$D$15,C57,D57,B57,,,,,,$E$13:$E$15,$B$5,$B$6,$B$7,,,$A$24:$A$50,$C$24:$C$33,$B$4,$B$8,$B$9),1,92)</f>
      </c>
      <c r="CT57" s="5">
        <f>INDEX(CEA_SHOCK_SOLVE($A$12:$D$15,C57,D57,B57,,,,,,$E$13:$E$15,$B$5,$B$6,$B$7,,,$A$24:$A$50,$C$24:$C$33,$B$4,$B$8,$B$9),1,93)</f>
      </c>
      <c r="CU57" s="5">
        <f>INDEX(CEA_SHOCK_SOLVE($A$12:$D$15,C57,D57,B57,,,,,,$E$13:$E$15,$B$5,$B$6,$B$7,,,$A$24:$A$50,$C$24:$C$33,$B$4,$B$8,$B$9),1,94)</f>
      </c>
      <c r="CV57" s="5">
        <f>INDEX(CEA_SHOCK_SOLVE($A$12:$D$15,C57,D57,B57,,,,,,$E$13:$E$15,$B$5,$B$6,$B$7,,,$A$24:$A$50,$C$24:$C$33,$B$4,$B$8,$B$9),1,95)</f>
      </c>
      <c r="CW57" s="5">
        <f>INDEX(CEA_SHOCK_SOLVE($A$12:$D$15,C57,D57,B57,,,,,,$E$13:$E$15,$B$5,$B$6,$B$7,,,$A$24:$A$50,$C$24:$C$33,$B$4,$B$8,$B$9),1,96)</f>
      </c>
      <c r="CX57" s="5">
        <f>INDEX(CEA_SHOCK_SOLVE($A$12:$D$15,C57,D57,B57,,,,,,$E$13:$E$15,$B$5,$B$6,$B$7,,,$A$24:$A$50,$C$24:$C$33,$B$4,$B$8,$B$9),1,97)</f>
      </c>
      <c r="CY57" s="5">
        <f>INDEX(CEA_SHOCK_SOLVE($A$12:$D$15,C57,D57,B57,,,,,,$E$13:$E$15,$B$5,$B$6,$B$7,,,$A$24:$A$50,$C$24:$C$33,$B$4,$B$8,$B$9),1,98)</f>
      </c>
      <c r="CZ57" s="5">
        <f>INDEX(CEA_SHOCK_SOLVE($A$12:$D$15,C57,D57,B57,,,,,,$E$13:$E$15,$B$5,$B$6,$B$7,,,$A$24:$A$50,$C$24:$C$33,$B$4,$B$8,$B$9),1,99)</f>
      </c>
      <c r="DA57" s="5">
        <f>INDEX(CEA_SHOCK_SOLVE($A$12:$D$15,C57,D57,B57,,,,,,$E$13:$E$15,$B$5,$B$6,$B$7,,,$A$24:$A$50,$C$24:$C$33,$B$4,$B$8,$B$9),1,100)</f>
      </c>
      <c r="DB57" s="5">
        <f>INDEX(CEA_SHOCK_SOLVE($A$12:$D$15,C57,D57,B57,,,,,,$E$13:$E$15,$B$5,$B$6,$B$7,,,$A$24:$A$50,$C$24:$C$33,$B$4,$B$8,$B$9),1,101)</f>
      </c>
      <c r="DC57" s="5">
        <f>INDEX(CEA_SHOCK_SOLVE($A$12:$D$15,C57,D57,B57,,,,,,$E$13:$E$15,$B$5,$B$6,$B$7,,,$A$24:$A$50,$C$24:$C$33,$B$4,$B$8,$B$9),1,102)</f>
      </c>
      <c r="DD57" s="5">
        <f>INDEX(CEA_SHOCK_SOLVE($A$12:$D$15,C57,D57,B57,,,,,,$E$13:$E$15,$B$5,$B$6,$B$7,,,$A$24:$A$50,$C$24:$C$33,$B$4,$B$8,$B$9),1,103)</f>
      </c>
      <c r="DE57" s="5">
        <f>INDEX(CEA_SHOCK_SOLVE($A$12:$D$15,C57,D57,B57,,,,,,$E$13:$E$15,$B$5,$B$6,$B$7,,,$A$24:$A$50,$C$24:$C$33,$B$4,$B$8,$B$9),1,104)</f>
      </c>
      <c r="DF57" s="5">
        <f>INDEX(CEA_SHOCK_SOLVE($A$12:$D$15,C57,D57,B57,,,,,,$E$13:$E$15,$B$5,$B$6,$B$7,,,$A$24:$A$50,$C$24:$C$33,$B$4,$B$8,$B$9),1,105)</f>
      </c>
      <c r="DG57" s="5">
        <f>INDEX(CEA_SHOCK_SOLVE($A$12:$D$15,C57,D57,B57,,,,,,$E$13:$E$15,$B$5,$B$6,$B$7,,,$A$24:$A$50,$C$24:$C$33,$B$4,$B$8,$B$9),1,106)</f>
      </c>
      <c r="DH57" s="5">
        <f>INDEX(CEA_SHOCK_SOLVE($A$12:$D$15,C57,D57,B57,,,,,,$E$13:$E$15,$B$5,$B$6,$B$7,,,$A$24:$A$50,$C$24:$C$33,$B$4,$B$8,$B$9),1,107)</f>
      </c>
      <c r="DI57" s="5">
        <f>INDEX(CEA_SHOCK_SOLVE($A$12:$D$15,C57,D57,B57,,,,,,$E$13:$E$15,$B$5,$B$6,$B$7,,,$A$24:$A$50,$C$24:$C$33,$B$4,$B$8,$B$9),1,108)</f>
      </c>
      <c r="DJ57" s="5">
        <f>INDEX(CEA_SHOCK_SOLVE($A$12:$D$15,C57,D57,B57,,,,,,$E$13:$E$15,$B$5,$B$6,$B$7,,,$A$24:$A$50,$C$24:$C$33,$B$4,$B$8,$B$9),1,109)</f>
      </c>
      <c r="DK57" s="5">
        <f>INDEX(CEA_SHOCK_SOLVE($A$12:$D$15,C57,D57,B57,,,,,,$E$13:$E$15,$B$5,$B$6,$B$7,,,$A$24:$A$50,$C$24:$C$33,$B$4,$B$8,$B$9),1,110)</f>
      </c>
      <c r="DL57" s="5">
        <f>INDEX(CEA_SHOCK_SOLVE($A$12:$D$15,C57,D57,B57,,,,,,$E$13:$E$15,$B$5,$B$6,$B$7,,,$A$24:$A$50,$C$24:$C$33,$B$4,$B$8,$B$9),1,111)</f>
      </c>
      <c r="DM57" s="5">
        <f>INDEX(CEA_SHOCK_SOLVE($A$12:$D$15,C57,D57,B57,,,,,,$E$13:$E$15,$B$5,$B$6,$B$7,,,$A$24:$A$50,$C$24:$C$33,$B$4,$B$8,$B$9),1,112)</f>
      </c>
      <c r="DN57" s="5">
        <f>INDEX(CEA_SHOCK_SOLVE($A$12:$D$15,C57,D57,B57,,,,,,$E$13:$E$15,$B$5,$B$6,$B$7,,,$A$24:$A$50,$C$24:$C$33,$B$4,$B$8,$B$9),1,113)</f>
      </c>
      <c r="DO57" s="5">
        <f>INDEX(CEA_SHOCK_SOLVE($A$12:$D$15,C57,D57,B57,,,,,,$E$13:$E$15,$B$5,$B$6,$B$7,,,$A$24:$A$50,$C$24:$C$33,$B$4,$B$8,$B$9),1,114)</f>
      </c>
      <c r="DP57" s="5">
        <f>INDEX(CEA_SHOCK_SOLVE($A$12:$D$15,C57,D57,B57,,,,,,$E$13:$E$15,$B$5,$B$6,$B$7,,,$A$24:$A$50,$C$24:$C$33,$B$4,$B$8,$B$9),1,115)</f>
      </c>
      <c r="DQ57" s="5">
        <f>INDEX(CEA_SHOCK_SOLVE($A$12:$D$15,C57,D57,B57,,,,,,$E$13:$E$15,$B$5,$B$6,$B$7,,,$A$24:$A$50,$C$24:$C$33,$B$4,$B$8,$B$9),1,116)</f>
      </c>
      <c r="DR57" s="5">
        <f>INDEX(CEA_SHOCK_SOLVE($A$12:$D$15,C57,D57,B57,,,,,,$E$13:$E$15,$B$5,$B$6,$B$7,,,$A$24:$A$50,$C$24:$C$33,$B$4,$B$8,$B$9),1,117)</f>
      </c>
      <c r="DS57" s="5">
        <f>INDEX(CEA_SHOCK_SOLVE($A$12:$D$15,C57,D57,B57,,,,,,$E$13:$E$15,$B$5,$B$6,$B$7,,,$A$24:$A$50,$C$24:$C$33,$B$4,$B$8,$B$9),1,118)</f>
      </c>
      <c r="DT57" s="5">
        <f>INDEX(CEA_SHOCK_SOLVE($A$12:$D$15,C57,D57,B57,,,,,,$E$13:$E$15,$B$5,$B$6,$B$7,,,$A$24:$A$50,$C$24:$C$33,$B$4,$B$8,$B$9),1,119)</f>
      </c>
      <c r="DU57" s="5">
        <f>INDEX(CEA_SHOCK_SOLVE($A$12:$D$15,C57,D57,B57,,,,,,$E$13:$E$15,$B$5,$B$6,$B$7,,,$A$24:$A$50,$C$24:$C$33,$B$4,$B$8,$B$9),1,120)</f>
      </c>
      <c r="DV57" s="5">
        <f>INDEX(CEA_SHOCK_SOLVE($A$12:$D$15,C57,D57,B57,,,,,,$E$13:$E$15,$B$5,$B$6,$B$7,,,$A$24:$A$50,$C$24:$C$33,$B$4,$B$8,$B$9),1,121)</f>
      </c>
      <c r="DW57" s="5">
        <f>INDEX(CEA_SHOCK_SOLVE($A$12:$D$15,C57,D57,B57,,,,,,$E$13:$E$15,$B$5,$B$6,$B$7,,,$A$24:$A$50,$C$24:$C$33,$B$4,$B$8,$B$9),1,122)</f>
      </c>
      <c r="DX57" s="5">
        <f>INDEX(CEA_SHOCK_SOLVE($A$12:$D$15,C57,D57,B57,,,,,,$E$13:$E$15,$B$5,$B$6,$B$7,,,$A$24:$A$50,$C$24:$C$33,$B$4,$B$8,$B$9),1,123)</f>
      </c>
      <c r="DY57" s="5">
        <f>INDEX(CEA_SHOCK_SOLVE($A$12:$D$15,C57,D57,B57,,,,,,$E$13:$E$15,$B$5,$B$6,$B$7,,,$A$24:$A$50,$C$24:$C$33,$B$4,$B$8,$B$9),1,124)</f>
      </c>
      <c r="DZ57" s="5">
        <f>INDEX(CEA_SHOCK_SOLVE($A$12:$D$15,C57,D57,B57,,,,,,$E$13:$E$15,$B$5,$B$6,$B$7,,,$A$24:$A$50,$C$24:$C$33,$B$4,$B$8,$B$9),1,125)</f>
      </c>
      <c r="EA57" s="5">
        <f>INDEX(CEA_SHOCK_SOLVE($A$12:$D$15,C57,D57,B57,,,,,,$E$13:$E$15,$B$5,$B$6,$B$7,,,$A$24:$A$50,$C$24:$C$33,$B$4,$B$8,$B$9),1,126)</f>
      </c>
      <c r="EB57" s="5">
        <f>INDEX(CEA_SHOCK_SOLVE($A$12:$D$15,C57,D57,B57,,,,,,$E$13:$E$15,$B$5,$B$6,$B$7,,,$A$24:$A$50,$C$24:$C$33,$B$4,$B$8,$B$9),1,127)</f>
      </c>
      <c r="EC57" s="5">
        <f>INDEX(CEA_SHOCK_SOLVE($A$12:$D$15,C57,D57,B57,,,,,,$E$13:$E$15,$B$5,$B$6,$B$7,,,$A$24:$A$50,$C$24:$C$33,$B$4,$B$8,$B$9),1,128)</f>
      </c>
      <c r="ED57" s="5">
        <f>INDEX(CEA_SHOCK_SOLVE($A$12:$D$15,C57,D57,B57,,,,,,$E$13:$E$15,$B$5,$B$6,$B$7,,,$A$24:$A$50,$C$24:$C$33,$B$4,$B$8,$B$9),1,129)</f>
      </c>
      <c r="EE57" s="5">
        <f>INDEX(CEA_SHOCK_SOLVE($A$12:$D$15,C57,D57,B57,,,,,,$E$13:$E$15,$B$5,$B$6,$B$7,,,$A$24:$A$50,$C$24:$C$33,$B$4,$B$8,$B$9),1,130)</f>
      </c>
      <c r="EF57" s="5">
        <f>INDEX(CEA_SHOCK_SOLVE($A$12:$D$15,C57,D57,B57,,,,,,$E$13:$E$15,$B$5,$B$6,$B$7,,,$A$24:$A$50,$C$24:$C$33,$B$4,$B$8,$B$9),1,131)</f>
      </c>
      <c r="EG57" s="5">
        <f>INDEX(CEA_SHOCK_SOLVE($A$12:$D$15,C57,D57,B57,,,,,,$E$13:$E$15,$B$5,$B$6,$B$7,,,$A$24:$A$50,$C$24:$C$33,$B$4,$B$8,$B$9),1,132)</f>
      </c>
      <c r="EH57" s="5">
        <f>INDEX(CEA_SHOCK_SOLVE($A$12:$D$15,C57,D57,B57,,,,,,$E$13:$E$15,$B$5,$B$6,$B$7,,,$A$24:$A$50,$C$24:$C$33,$B$4,$B$8,$B$9),1,133)</f>
      </c>
      <c r="EI57" s="5">
        <f>INDEX(CEA_SHOCK_SOLVE($A$12:$D$15,C57,D57,B57,,,,,,$E$13:$E$15,$B$5,$B$6,$B$7,,,$A$24:$A$50,$C$24:$C$33,$B$4,$B$8,$B$9),1,134)</f>
      </c>
      <c r="EJ57" s="5">
        <f>INDEX(CEA_SHOCK_SOLVE($A$12:$D$15,C57,D57,B57,,,,,,$E$13:$E$15,$B$5,$B$6,$B$7,,,$A$24:$A$50,$C$24:$C$33,$B$4,$B$8,$B$9),1,135)</f>
      </c>
      <c r="EK57" s="5">
        <f>INDEX(CEA_SHOCK_SOLVE($A$12:$D$15,C57,D57,B57,,,,,,$E$13:$E$15,$B$5,$B$6,$B$7,,,$A$24:$A$50,$C$24:$C$33,$B$4,$B$8,$B$9),1,136)</f>
      </c>
      <c r="EL57" s="5">
        <f>INDEX(CEA_SHOCK_SOLVE($A$12:$D$15,C57,D57,B57,,,,,,$E$13:$E$15,$B$5,$B$6,$B$7,,,$A$24:$A$50,$C$24:$C$33,$B$4,$B$8,$B$9),1,137)</f>
      </c>
      <c r="EM57" s="5">
        <f>INDEX(CEA_SHOCK_SOLVE($A$12:$D$15,C57,D57,B57,,,,,,$E$13:$E$15,$B$5,$B$6,$B$7,,,$A$24:$A$50,$C$24:$C$33,$B$4,$B$8,$B$9),1,138)</f>
      </c>
      <c r="EN57" s="5">
        <f>INDEX(CEA_SHOCK_SOLVE($A$12:$D$15,C57,D57,B57,,,,,,$E$13:$E$15,$B$5,$B$6,$B$7,,,$A$24:$A$50,$C$24:$C$33,$B$4,$B$8,$B$9),1,139)</f>
      </c>
      <c r="EO57" s="5">
        <f>INDEX(CEA_SHOCK_SOLVE($A$12:$D$15,C57,D57,B57,,,,,,$E$13:$E$15,$B$5,$B$6,$B$7,,,$A$24:$A$50,$C$24:$C$33,$B$4,$B$8,$B$9),1,140)</f>
      </c>
      <c r="EP57" s="5">
        <f>INDEX(CEA_SHOCK_SOLVE($A$12:$D$15,C57,D57,B57,,,,,,$E$13:$E$15,$B$5,$B$6,$B$7,,,$A$24:$A$50,$C$24:$C$33,$B$4,$B$8,$B$9),1,141)</f>
      </c>
      <c r="EQ57" s="5">
        <f>INDEX(CEA_SHOCK_SOLVE($A$12:$D$15,C57,D57,B57,,,,,,$E$13:$E$15,$B$5,$B$6,$B$7,,,$A$24:$A$50,$C$24:$C$33,$B$4,$B$8,$B$9),1,142)</f>
      </c>
      <c r="ER57" s="5">
        <f>INDEX(CEA_SHOCK_SOLVE($A$12:$D$15,C57,D57,B57,,,,,,$E$13:$E$15,$B$5,$B$6,$B$7,,,$A$24:$A$50,$C$24:$C$33,$B$4,$B$8,$B$9),1,143)</f>
      </c>
      <c r="ES57" s="5">
        <f>INDEX(CEA_SHOCK_SOLVE($A$12:$D$15,C57,D57,B57,,,,,,$E$13:$E$15,$B$5,$B$6,$B$7,,,$A$24:$A$50,$C$24:$C$33,$B$4,$B$8,$B$9),1,144)</f>
      </c>
    </row>
    <row r="58" spans="1:149" x14ac:dyDescent="0.2">
      <c r="A58" s="9">
        <v>2</v>
      </c>
      <c r="B58" s="4">
        <v>1200</v>
      </c>
      <c r="C58" s="5">
        <f>$B$18</f>
      </c>
      <c r="D58" s="5">
        <f>$B$20</f>
      </c>
      <c r="E58" t="inlineStr" s="6">
        <is>
          <t>$E$13:$E$15</t>
        </is>
      </c>
      <c r="F58" s="5">
        <f>INDEX(CEA_SHOCK_SOLVE($A$12:$D$15,C58,D58,B58,,,,,,$E$13:$E$15,$B$5,$B$6,$B$7,,,$A$24:$A$50,$C$24:$C$33,$B$4,$B$8,$B$9),1,1)</f>
      </c>
      <c r="G58" s="5">
        <f>INDEX(CEA_SHOCK_SOLVE($A$12:$D$15,C58,D58,B58,,,,,,$E$13:$E$15,$B$5,$B$6,$B$7,,,$A$24:$A$50,$C$24:$C$33,$B$4,$B$8,$B$9),1,2)</f>
      </c>
      <c r="H58" s="5">
        <f>INDEX(CEA_SHOCK_SOLVE($A$12:$D$15,C58,D58,B58,,,,,,$E$13:$E$15,$B$5,$B$6,$B$7,,,$A$24:$A$50,$C$24:$C$33,$B$4,$B$8,$B$9),1,3)</f>
      </c>
      <c r="I58" s="5">
        <f>INDEX(CEA_SHOCK_SOLVE($A$12:$D$15,C58,D58,B58,,,,,,$E$13:$E$15,$B$5,$B$6,$B$7,,,$A$24:$A$50,$C$24:$C$33,$B$4,$B$8,$B$9),1,4)</f>
      </c>
      <c r="J58" s="5">
        <f>INDEX(CEA_SHOCK_SOLVE($A$12:$D$15,C58,D58,B58,,,,,,$E$13:$E$15,$B$5,$B$6,$B$7,,,$A$24:$A$50,$C$24:$C$33,$B$4,$B$8,$B$9),1,5)</f>
      </c>
      <c r="K58" s="5">
        <f>INDEX(CEA_SHOCK_SOLVE($A$12:$D$15,C58,D58,B58,,,,,,$E$13:$E$15,$B$5,$B$6,$B$7,,,$A$24:$A$50,$C$24:$C$33,$B$4,$B$8,$B$9),1,6)</f>
      </c>
      <c r="L58" s="5">
        <f>INDEX(CEA_SHOCK_SOLVE($A$12:$D$15,C58,D58,B58,,,,,,$E$13:$E$15,$B$5,$B$6,$B$7,,,$A$24:$A$50,$C$24:$C$33,$B$4,$B$8,$B$9),1,7)</f>
      </c>
      <c r="M58" s="5">
        <f>INDEX(CEA_SHOCK_SOLVE($A$12:$D$15,C58,D58,B58,,,,,,$E$13:$E$15,$B$5,$B$6,$B$7,,,$A$24:$A$50,$C$24:$C$33,$B$4,$B$8,$B$9),1,8)</f>
      </c>
      <c r="N58" s="5">
        <f>INDEX(CEA_SHOCK_SOLVE($A$12:$D$15,C58,D58,B58,,,,,,$E$13:$E$15,$B$5,$B$6,$B$7,,,$A$24:$A$50,$C$24:$C$33,$B$4,$B$8,$B$9),1,9)</f>
      </c>
      <c r="O58" s="5">
        <f>INDEX(CEA_SHOCK_SOLVE($A$12:$D$15,C58,D58,B58,,,,,,$E$13:$E$15,$B$5,$B$6,$B$7,,,$A$24:$A$50,$C$24:$C$33,$B$4,$B$8,$B$9),1,10)</f>
      </c>
      <c r="P58" s="5">
        <f>INDEX(CEA_SHOCK_SOLVE($A$12:$D$15,C58,D58,B58,,,,,,$E$13:$E$15,$B$5,$B$6,$B$7,,,$A$24:$A$50,$C$24:$C$33,$B$4,$B$8,$B$9),1,11)</f>
      </c>
      <c r="Q58" s="5">
        <f>INDEX(CEA_SHOCK_SOLVE($A$12:$D$15,C58,D58,B58,,,,,,$E$13:$E$15,$B$5,$B$6,$B$7,,,$A$24:$A$50,$C$24:$C$33,$B$4,$B$8,$B$9),1,12)</f>
      </c>
      <c r="R58" s="5">
        <f>INDEX(CEA_SHOCK_SOLVE($A$12:$D$15,C58,D58,B58,,,,,,$E$13:$E$15,$B$5,$B$6,$B$7,,,$A$24:$A$50,$C$24:$C$33,$B$4,$B$8,$B$9),1,13)</f>
      </c>
      <c r="S58" s="5">
        <f>INDEX(CEA_SHOCK_SOLVE($A$12:$D$15,C58,D58,B58,,,,,,$E$13:$E$15,$B$5,$B$6,$B$7,,,$A$24:$A$50,$C$24:$C$33,$B$4,$B$8,$B$9),1,14)</f>
      </c>
      <c r="T58" s="5">
        <f>INDEX(CEA_SHOCK_SOLVE($A$12:$D$15,C58,D58,B58,,,,,,$E$13:$E$15,$B$5,$B$6,$B$7,,,$A$24:$A$50,$C$24:$C$33,$B$4,$B$8,$B$9),1,15)</f>
      </c>
      <c r="U58" s="5">
        <f>INDEX(CEA_SHOCK_SOLVE($A$12:$D$15,C58,D58,B58,,,,,,$E$13:$E$15,$B$5,$B$6,$B$7,,,$A$24:$A$50,$C$24:$C$33,$B$4,$B$8,$B$9),1,16)</f>
      </c>
      <c r="V58" s="5">
        <f>INDEX(CEA_SHOCK_SOLVE($A$12:$D$15,C58,D58,B58,,,,,,$E$13:$E$15,$B$5,$B$6,$B$7,,,$A$24:$A$50,$C$24:$C$33,$B$4,$B$8,$B$9),1,17)</f>
      </c>
      <c r="W58" s="5">
        <f>INDEX(CEA_SHOCK_SOLVE($A$12:$D$15,C58,D58,B58,,,,,,$E$13:$E$15,$B$5,$B$6,$B$7,,,$A$24:$A$50,$C$24:$C$33,$B$4,$B$8,$B$9),1,18)</f>
      </c>
      <c r="X58" s="5">
        <f>INDEX(CEA_SHOCK_SOLVE($A$12:$D$15,C58,D58,B58,,,,,,$E$13:$E$15,$B$5,$B$6,$B$7,,,$A$24:$A$50,$C$24:$C$33,$B$4,$B$8,$B$9),1,19)</f>
      </c>
      <c r="Y58" s="5">
        <f>INDEX(CEA_SHOCK_SOLVE($A$12:$D$15,C58,D58,B58,,,,,,$E$13:$E$15,$B$5,$B$6,$B$7,,,$A$24:$A$50,$C$24:$C$33,$B$4,$B$8,$B$9),1,20)</f>
      </c>
      <c r="Z58" s="5">
        <f>INDEX(CEA_SHOCK_SOLVE($A$12:$D$15,C58,D58,B58,,,,,,$E$13:$E$15,$B$5,$B$6,$B$7,,,$A$24:$A$50,$C$24:$C$33,$B$4,$B$8,$B$9),1,21)</f>
      </c>
      <c r="AA58" s="5">
        <f>INDEX(CEA_SHOCK_SOLVE($A$12:$D$15,C58,D58,B58,,,,,,$E$13:$E$15,$B$5,$B$6,$B$7,,,$A$24:$A$50,$C$24:$C$33,$B$4,$B$8,$B$9),1,22)</f>
      </c>
      <c r="AB58" s="5">
        <f>INDEX(CEA_SHOCK_SOLVE($A$12:$D$15,C58,D58,B58,,,,,,$E$13:$E$15,$B$5,$B$6,$B$7,,,$A$24:$A$50,$C$24:$C$33,$B$4,$B$8,$B$9),1,23)</f>
      </c>
      <c r="AC58" s="5">
        <f>INDEX(CEA_SHOCK_SOLVE($A$12:$D$15,C58,D58,B58,,,,,,$E$13:$E$15,$B$5,$B$6,$B$7,,,$A$24:$A$50,$C$24:$C$33,$B$4,$B$8,$B$9),1,24)</f>
      </c>
      <c r="AD58" s="5">
        <f>INDEX(CEA_SHOCK_SOLVE($A$12:$D$15,C58,D58,B58,,,,,,$E$13:$E$15,$B$5,$B$6,$B$7,,,$A$24:$A$50,$C$24:$C$33,$B$4,$B$8,$B$9),1,25)</f>
      </c>
      <c r="AE58" s="5">
        <f>INDEX(CEA_SHOCK_SOLVE($A$12:$D$15,C58,D58,B58,,,,,,$E$13:$E$15,$B$5,$B$6,$B$7,,,$A$24:$A$50,$C$24:$C$33,$B$4,$B$8,$B$9),1,26)</f>
      </c>
      <c r="AF58" s="5">
        <f>INDEX(CEA_SHOCK_SOLVE($A$12:$D$15,C58,D58,B58,,,,,,$E$13:$E$15,$B$5,$B$6,$B$7,,,$A$24:$A$50,$C$24:$C$33,$B$4,$B$8,$B$9),1,27)</f>
      </c>
      <c r="AG58" s="5">
        <f>INDEX(CEA_SHOCK_SOLVE($A$12:$D$15,C58,D58,B58,,,,,,$E$13:$E$15,$B$5,$B$6,$B$7,,,$A$24:$A$50,$C$24:$C$33,$B$4,$B$8,$B$9),1,28)</f>
      </c>
      <c r="AH58" s="5">
        <f>INDEX(CEA_SHOCK_SOLVE($A$12:$D$15,C58,D58,B58,,,,,,$E$13:$E$15,$B$5,$B$6,$B$7,,,$A$24:$A$50,$C$24:$C$33,$B$4,$B$8,$B$9),1,29)</f>
      </c>
      <c r="AI58" s="5">
        <f>INDEX(CEA_SHOCK_SOLVE($A$12:$D$15,C58,D58,B58,,,,,,$E$13:$E$15,$B$5,$B$6,$B$7,,,$A$24:$A$50,$C$24:$C$33,$B$4,$B$8,$B$9),1,30)</f>
      </c>
      <c r="AJ58" s="5">
        <f>INDEX(CEA_SHOCK_SOLVE($A$12:$D$15,C58,D58,B58,,,,,,$E$13:$E$15,$B$5,$B$6,$B$7,,,$A$24:$A$50,$C$24:$C$33,$B$4,$B$8,$B$9),1,31)</f>
      </c>
      <c r="AK58" s="5">
        <f>INDEX(CEA_SHOCK_SOLVE($A$12:$D$15,C58,D58,B58,,,,,,$E$13:$E$15,$B$5,$B$6,$B$7,,,$A$24:$A$50,$C$24:$C$33,$B$4,$B$8,$B$9),1,32)</f>
      </c>
      <c r="AL58" s="5">
        <f>INDEX(CEA_SHOCK_SOLVE($A$12:$D$15,C58,D58,B58,,,,,,$E$13:$E$15,$B$5,$B$6,$B$7,,,$A$24:$A$50,$C$24:$C$33,$B$4,$B$8,$B$9),1,33)</f>
      </c>
      <c r="AM58" s="5">
        <f>INDEX(CEA_SHOCK_SOLVE($A$12:$D$15,C58,D58,B58,,,,,,$E$13:$E$15,$B$5,$B$6,$B$7,,,$A$24:$A$50,$C$24:$C$33,$B$4,$B$8,$B$9),1,34)</f>
      </c>
      <c r="AN58" s="5">
        <f>INDEX(CEA_SHOCK_SOLVE($A$12:$D$15,C58,D58,B58,,,,,,$E$13:$E$15,$B$5,$B$6,$B$7,,,$A$24:$A$50,$C$24:$C$33,$B$4,$B$8,$B$9),1,35)</f>
      </c>
      <c r="AO58" s="5">
        <f>INDEX(CEA_SHOCK_SOLVE($A$12:$D$15,C58,D58,B58,,,,,,$E$13:$E$15,$B$5,$B$6,$B$7,,,$A$24:$A$50,$C$24:$C$33,$B$4,$B$8,$B$9),1,36)</f>
      </c>
      <c r="AP58" s="5">
        <f>INDEX(CEA_SHOCK_SOLVE($A$12:$D$15,C58,D58,B58,,,,,,$E$13:$E$15,$B$5,$B$6,$B$7,,,$A$24:$A$50,$C$24:$C$33,$B$4,$B$8,$B$9),1,37)</f>
      </c>
      <c r="AQ58" s="5">
        <f>INDEX(CEA_SHOCK_SOLVE($A$12:$D$15,C58,D58,B58,,,,,,$E$13:$E$15,$B$5,$B$6,$B$7,,,$A$24:$A$50,$C$24:$C$33,$B$4,$B$8,$B$9),1,38)</f>
      </c>
      <c r="AR58" s="5">
        <f>INDEX(CEA_SHOCK_SOLVE($A$12:$D$15,C58,D58,B58,,,,,,$E$13:$E$15,$B$5,$B$6,$B$7,,,$A$24:$A$50,$C$24:$C$33,$B$4,$B$8,$B$9),1,39)</f>
      </c>
      <c r="AS58" s="5">
        <f>INDEX(CEA_SHOCK_SOLVE($A$12:$D$15,C58,D58,B58,,,,,,$E$13:$E$15,$B$5,$B$6,$B$7,,,$A$24:$A$50,$C$24:$C$33,$B$4,$B$8,$B$9),1,40)</f>
      </c>
      <c r="AT58" s="5">
        <f>INDEX(CEA_SHOCK_SOLVE($A$12:$D$15,C58,D58,B58,,,,,,$E$13:$E$15,$B$5,$B$6,$B$7,,,$A$24:$A$50,$C$24:$C$33,$B$4,$B$8,$B$9),1,41)</f>
      </c>
      <c r="AU58" s="5">
        <f>INDEX(CEA_SHOCK_SOLVE($A$12:$D$15,C58,D58,B58,,,,,,$E$13:$E$15,$B$5,$B$6,$B$7,,,$A$24:$A$50,$C$24:$C$33,$B$4,$B$8,$B$9),1,42)</f>
      </c>
      <c r="AV58" s="5">
        <f>INDEX(CEA_SHOCK_SOLVE($A$12:$D$15,C58,D58,B58,,,,,,$E$13:$E$15,$B$5,$B$6,$B$7,,,$A$24:$A$50,$C$24:$C$33,$B$4,$B$8,$B$9),1,43)</f>
      </c>
      <c r="AW58" s="5">
        <f>INDEX(CEA_SHOCK_SOLVE($A$12:$D$15,C58,D58,B58,,,,,,$E$13:$E$15,$B$5,$B$6,$B$7,,,$A$24:$A$50,$C$24:$C$33,$B$4,$B$8,$B$9),1,44)</f>
      </c>
      <c r="AX58" s="5">
        <f>INDEX(CEA_SHOCK_SOLVE($A$12:$D$15,C58,D58,B58,,,,,,$E$13:$E$15,$B$5,$B$6,$B$7,,,$A$24:$A$50,$C$24:$C$33,$B$4,$B$8,$B$9),1,45)</f>
      </c>
      <c r="AY58" s="5">
        <f>INDEX(CEA_SHOCK_SOLVE($A$12:$D$15,C58,D58,B58,,,,,,$E$13:$E$15,$B$5,$B$6,$B$7,,,$A$24:$A$50,$C$24:$C$33,$B$4,$B$8,$B$9),1,46)</f>
      </c>
      <c r="AZ58" s="5">
        <f>INDEX(CEA_SHOCK_SOLVE($A$12:$D$15,C58,D58,B58,,,,,,$E$13:$E$15,$B$5,$B$6,$B$7,,,$A$24:$A$50,$C$24:$C$33,$B$4,$B$8,$B$9),1,47)</f>
      </c>
      <c r="BA58" s="5">
        <f>INDEX(CEA_SHOCK_SOLVE($A$12:$D$15,C58,D58,B58,,,,,,$E$13:$E$15,$B$5,$B$6,$B$7,,,$A$24:$A$50,$C$24:$C$33,$B$4,$B$8,$B$9),1,48)</f>
      </c>
      <c r="BB58" s="5">
        <f>INDEX(CEA_SHOCK_SOLVE($A$12:$D$15,C58,D58,B58,,,,,,$E$13:$E$15,$B$5,$B$6,$B$7,,,$A$24:$A$50,$C$24:$C$33,$B$4,$B$8,$B$9),1,49)</f>
      </c>
      <c r="BC58" s="5">
        <f>INDEX(CEA_SHOCK_SOLVE($A$12:$D$15,C58,D58,B58,,,,,,$E$13:$E$15,$B$5,$B$6,$B$7,,,$A$24:$A$50,$C$24:$C$33,$B$4,$B$8,$B$9),1,50)</f>
      </c>
      <c r="BD58" s="5">
        <f>INDEX(CEA_SHOCK_SOLVE($A$12:$D$15,C58,D58,B58,,,,,,$E$13:$E$15,$B$5,$B$6,$B$7,,,$A$24:$A$50,$C$24:$C$33,$B$4,$B$8,$B$9),1,51)</f>
      </c>
      <c r="BE58" s="5">
        <f>INDEX(CEA_SHOCK_SOLVE($A$12:$D$15,C58,D58,B58,,,,,,$E$13:$E$15,$B$5,$B$6,$B$7,,,$A$24:$A$50,$C$24:$C$33,$B$4,$B$8,$B$9),1,52)</f>
      </c>
      <c r="BF58" s="5">
        <f>INDEX(CEA_SHOCK_SOLVE($A$12:$D$15,C58,D58,B58,,,,,,$E$13:$E$15,$B$5,$B$6,$B$7,,,$A$24:$A$50,$C$24:$C$33,$B$4,$B$8,$B$9),1,53)</f>
      </c>
      <c r="BG58" s="5">
        <f>INDEX(CEA_SHOCK_SOLVE($A$12:$D$15,C58,D58,B58,,,,,,$E$13:$E$15,$B$5,$B$6,$B$7,,,$A$24:$A$50,$C$24:$C$33,$B$4,$B$8,$B$9),1,54)</f>
      </c>
      <c r="BH58" s="5">
        <f>INDEX(CEA_SHOCK_SOLVE($A$12:$D$15,C58,D58,B58,,,,,,$E$13:$E$15,$B$5,$B$6,$B$7,,,$A$24:$A$50,$C$24:$C$33,$B$4,$B$8,$B$9),1,55)</f>
      </c>
      <c r="BI58" s="5">
        <f>INDEX(CEA_SHOCK_SOLVE($A$12:$D$15,C58,D58,B58,,,,,,$E$13:$E$15,$B$5,$B$6,$B$7,,,$A$24:$A$50,$C$24:$C$33,$B$4,$B$8,$B$9),1,56)</f>
      </c>
      <c r="BJ58" s="5">
        <f>INDEX(CEA_SHOCK_SOLVE($A$12:$D$15,C58,D58,B58,,,,,,$E$13:$E$15,$B$5,$B$6,$B$7,,,$A$24:$A$50,$C$24:$C$33,$B$4,$B$8,$B$9),1,57)</f>
      </c>
      <c r="BK58" s="5">
        <f>INDEX(CEA_SHOCK_SOLVE($A$12:$D$15,C58,D58,B58,,,,,,$E$13:$E$15,$B$5,$B$6,$B$7,,,$A$24:$A$50,$C$24:$C$33,$B$4,$B$8,$B$9),1,58)</f>
      </c>
      <c r="BL58" s="5">
        <f>INDEX(CEA_SHOCK_SOLVE($A$12:$D$15,C58,D58,B58,,,,,,$E$13:$E$15,$B$5,$B$6,$B$7,,,$A$24:$A$50,$C$24:$C$33,$B$4,$B$8,$B$9),1,59)</f>
      </c>
      <c r="BM58" s="5">
        <f>INDEX(CEA_SHOCK_SOLVE($A$12:$D$15,C58,D58,B58,,,,,,$E$13:$E$15,$B$5,$B$6,$B$7,,,$A$24:$A$50,$C$24:$C$33,$B$4,$B$8,$B$9),1,60)</f>
      </c>
      <c r="BN58" s="5">
        <f>INDEX(CEA_SHOCK_SOLVE($A$12:$D$15,C58,D58,B58,,,,,,$E$13:$E$15,$B$5,$B$6,$B$7,,,$A$24:$A$50,$C$24:$C$33,$B$4,$B$8,$B$9),1,61)</f>
      </c>
      <c r="BO58" s="5">
        <f>INDEX(CEA_SHOCK_SOLVE($A$12:$D$15,C58,D58,B58,,,,,,$E$13:$E$15,$B$5,$B$6,$B$7,,,$A$24:$A$50,$C$24:$C$33,$B$4,$B$8,$B$9),1,62)</f>
      </c>
      <c r="BP58" s="5">
        <f>INDEX(CEA_SHOCK_SOLVE($A$12:$D$15,C58,D58,B58,,,,,,$E$13:$E$15,$B$5,$B$6,$B$7,,,$A$24:$A$50,$C$24:$C$33,$B$4,$B$8,$B$9),1,63)</f>
      </c>
      <c r="BQ58" s="5">
        <f>INDEX(CEA_SHOCK_SOLVE($A$12:$D$15,C58,D58,B58,,,,,,$E$13:$E$15,$B$5,$B$6,$B$7,,,$A$24:$A$50,$C$24:$C$33,$B$4,$B$8,$B$9),1,64)</f>
      </c>
      <c r="BR58" s="5">
        <f>INDEX(CEA_SHOCK_SOLVE($A$12:$D$15,C58,D58,B58,,,,,,$E$13:$E$15,$B$5,$B$6,$B$7,,,$A$24:$A$50,$C$24:$C$33,$B$4,$B$8,$B$9),1,65)</f>
      </c>
      <c r="BS58" s="5">
        <f>INDEX(CEA_SHOCK_SOLVE($A$12:$D$15,C58,D58,B58,,,,,,$E$13:$E$15,$B$5,$B$6,$B$7,,,$A$24:$A$50,$C$24:$C$33,$B$4,$B$8,$B$9),1,66)</f>
      </c>
      <c r="BT58" s="5">
        <f>INDEX(CEA_SHOCK_SOLVE($A$12:$D$15,C58,D58,B58,,,,,,$E$13:$E$15,$B$5,$B$6,$B$7,,,$A$24:$A$50,$C$24:$C$33,$B$4,$B$8,$B$9),1,67)</f>
      </c>
      <c r="BU58" s="5">
        <f>INDEX(CEA_SHOCK_SOLVE($A$12:$D$15,C58,D58,B58,,,,,,$E$13:$E$15,$B$5,$B$6,$B$7,,,$A$24:$A$50,$C$24:$C$33,$B$4,$B$8,$B$9),1,68)</f>
      </c>
      <c r="BV58" s="5">
        <f>INDEX(CEA_SHOCK_SOLVE($A$12:$D$15,C58,D58,B58,,,,,,$E$13:$E$15,$B$5,$B$6,$B$7,,,$A$24:$A$50,$C$24:$C$33,$B$4,$B$8,$B$9),1,69)</f>
      </c>
      <c r="BW58" s="5">
        <f>INDEX(CEA_SHOCK_SOLVE($A$12:$D$15,C58,D58,B58,,,,,,$E$13:$E$15,$B$5,$B$6,$B$7,,,$A$24:$A$50,$C$24:$C$33,$B$4,$B$8,$B$9),1,70)</f>
      </c>
      <c r="BX58" s="5">
        <f>INDEX(CEA_SHOCK_SOLVE($A$12:$D$15,C58,D58,B58,,,,,,$E$13:$E$15,$B$5,$B$6,$B$7,,,$A$24:$A$50,$C$24:$C$33,$B$4,$B$8,$B$9),1,71)</f>
      </c>
      <c r="BY58" s="5">
        <f>INDEX(CEA_SHOCK_SOLVE($A$12:$D$15,C58,D58,B58,,,,,,$E$13:$E$15,$B$5,$B$6,$B$7,,,$A$24:$A$50,$C$24:$C$33,$B$4,$B$8,$B$9),1,72)</f>
      </c>
      <c r="BZ58" s="5">
        <f>INDEX(CEA_SHOCK_SOLVE($A$12:$D$15,C58,D58,B58,,,,,,$E$13:$E$15,$B$5,$B$6,$B$7,,,$A$24:$A$50,$C$24:$C$33,$B$4,$B$8,$B$9),1,73)</f>
      </c>
      <c r="CA58" s="5">
        <f>INDEX(CEA_SHOCK_SOLVE($A$12:$D$15,C58,D58,B58,,,,,,$E$13:$E$15,$B$5,$B$6,$B$7,,,$A$24:$A$50,$C$24:$C$33,$B$4,$B$8,$B$9),1,74)</f>
      </c>
      <c r="CB58" s="5">
        <f>INDEX(CEA_SHOCK_SOLVE($A$12:$D$15,C58,D58,B58,,,,,,$E$13:$E$15,$B$5,$B$6,$B$7,,,$A$24:$A$50,$C$24:$C$33,$B$4,$B$8,$B$9),1,75)</f>
      </c>
      <c r="CC58" s="5">
        <f>INDEX(CEA_SHOCK_SOLVE($A$12:$D$15,C58,D58,B58,,,,,,$E$13:$E$15,$B$5,$B$6,$B$7,,,$A$24:$A$50,$C$24:$C$33,$B$4,$B$8,$B$9),1,76)</f>
      </c>
      <c r="CD58" s="5">
        <f>INDEX(CEA_SHOCK_SOLVE($A$12:$D$15,C58,D58,B58,,,,,,$E$13:$E$15,$B$5,$B$6,$B$7,,,$A$24:$A$50,$C$24:$C$33,$B$4,$B$8,$B$9),1,77)</f>
      </c>
      <c r="CE58" s="5">
        <f>INDEX(CEA_SHOCK_SOLVE($A$12:$D$15,C58,D58,B58,,,,,,$E$13:$E$15,$B$5,$B$6,$B$7,,,$A$24:$A$50,$C$24:$C$33,$B$4,$B$8,$B$9),1,78)</f>
      </c>
      <c r="CF58" s="5">
        <f>INDEX(CEA_SHOCK_SOLVE($A$12:$D$15,C58,D58,B58,,,,,,$E$13:$E$15,$B$5,$B$6,$B$7,,,$A$24:$A$50,$C$24:$C$33,$B$4,$B$8,$B$9),1,79)</f>
      </c>
      <c r="CG58" s="5">
        <f>INDEX(CEA_SHOCK_SOLVE($A$12:$D$15,C58,D58,B58,,,,,,$E$13:$E$15,$B$5,$B$6,$B$7,,,$A$24:$A$50,$C$24:$C$33,$B$4,$B$8,$B$9),1,80)</f>
      </c>
      <c r="CH58" s="5">
        <f>INDEX(CEA_SHOCK_SOLVE($A$12:$D$15,C58,D58,B58,,,,,,$E$13:$E$15,$B$5,$B$6,$B$7,,,$A$24:$A$50,$C$24:$C$33,$B$4,$B$8,$B$9),1,81)</f>
      </c>
      <c r="CI58" s="5">
        <f>INDEX(CEA_SHOCK_SOLVE($A$12:$D$15,C58,D58,B58,,,,,,$E$13:$E$15,$B$5,$B$6,$B$7,,,$A$24:$A$50,$C$24:$C$33,$B$4,$B$8,$B$9),1,82)</f>
      </c>
      <c r="CJ58" s="5">
        <f>INDEX(CEA_SHOCK_SOLVE($A$12:$D$15,C58,D58,B58,,,,,,$E$13:$E$15,$B$5,$B$6,$B$7,,,$A$24:$A$50,$C$24:$C$33,$B$4,$B$8,$B$9),1,83)</f>
      </c>
      <c r="CK58" s="5">
        <f>INDEX(CEA_SHOCK_SOLVE($A$12:$D$15,C58,D58,B58,,,,,,$E$13:$E$15,$B$5,$B$6,$B$7,,,$A$24:$A$50,$C$24:$C$33,$B$4,$B$8,$B$9),1,84)</f>
      </c>
      <c r="CL58" s="5">
        <f>INDEX(CEA_SHOCK_SOLVE($A$12:$D$15,C58,D58,B58,,,,,,$E$13:$E$15,$B$5,$B$6,$B$7,,,$A$24:$A$50,$C$24:$C$33,$B$4,$B$8,$B$9),1,85)</f>
      </c>
      <c r="CM58" s="5">
        <f>INDEX(CEA_SHOCK_SOLVE($A$12:$D$15,C58,D58,B58,,,,,,$E$13:$E$15,$B$5,$B$6,$B$7,,,$A$24:$A$50,$C$24:$C$33,$B$4,$B$8,$B$9),1,86)</f>
      </c>
      <c r="CN58" s="5">
        <f>INDEX(CEA_SHOCK_SOLVE($A$12:$D$15,C58,D58,B58,,,,,,$E$13:$E$15,$B$5,$B$6,$B$7,,,$A$24:$A$50,$C$24:$C$33,$B$4,$B$8,$B$9),1,87)</f>
      </c>
      <c r="CO58" s="5">
        <f>INDEX(CEA_SHOCK_SOLVE($A$12:$D$15,C58,D58,B58,,,,,,$E$13:$E$15,$B$5,$B$6,$B$7,,,$A$24:$A$50,$C$24:$C$33,$B$4,$B$8,$B$9),1,88)</f>
      </c>
      <c r="CP58" s="5">
        <f>INDEX(CEA_SHOCK_SOLVE($A$12:$D$15,C58,D58,B58,,,,,,$E$13:$E$15,$B$5,$B$6,$B$7,,,$A$24:$A$50,$C$24:$C$33,$B$4,$B$8,$B$9),1,89)</f>
      </c>
      <c r="CQ58" s="5">
        <f>INDEX(CEA_SHOCK_SOLVE($A$12:$D$15,C58,D58,B58,,,,,,$E$13:$E$15,$B$5,$B$6,$B$7,,,$A$24:$A$50,$C$24:$C$33,$B$4,$B$8,$B$9),1,90)</f>
      </c>
      <c r="CR58" s="5">
        <f>INDEX(CEA_SHOCK_SOLVE($A$12:$D$15,C58,D58,B58,,,,,,$E$13:$E$15,$B$5,$B$6,$B$7,,,$A$24:$A$50,$C$24:$C$33,$B$4,$B$8,$B$9),1,91)</f>
      </c>
      <c r="CS58" s="5">
        <f>INDEX(CEA_SHOCK_SOLVE($A$12:$D$15,C58,D58,B58,,,,,,$E$13:$E$15,$B$5,$B$6,$B$7,,,$A$24:$A$50,$C$24:$C$33,$B$4,$B$8,$B$9),1,92)</f>
      </c>
      <c r="CT58" s="5">
        <f>INDEX(CEA_SHOCK_SOLVE($A$12:$D$15,C58,D58,B58,,,,,,$E$13:$E$15,$B$5,$B$6,$B$7,,,$A$24:$A$50,$C$24:$C$33,$B$4,$B$8,$B$9),1,93)</f>
      </c>
      <c r="CU58" s="5">
        <f>INDEX(CEA_SHOCK_SOLVE($A$12:$D$15,C58,D58,B58,,,,,,$E$13:$E$15,$B$5,$B$6,$B$7,,,$A$24:$A$50,$C$24:$C$33,$B$4,$B$8,$B$9),1,94)</f>
      </c>
      <c r="CV58" s="5">
        <f>INDEX(CEA_SHOCK_SOLVE($A$12:$D$15,C58,D58,B58,,,,,,$E$13:$E$15,$B$5,$B$6,$B$7,,,$A$24:$A$50,$C$24:$C$33,$B$4,$B$8,$B$9),1,95)</f>
      </c>
      <c r="CW58" s="5">
        <f>INDEX(CEA_SHOCK_SOLVE($A$12:$D$15,C58,D58,B58,,,,,,$E$13:$E$15,$B$5,$B$6,$B$7,,,$A$24:$A$50,$C$24:$C$33,$B$4,$B$8,$B$9),1,96)</f>
      </c>
      <c r="CX58" s="5">
        <f>INDEX(CEA_SHOCK_SOLVE($A$12:$D$15,C58,D58,B58,,,,,,$E$13:$E$15,$B$5,$B$6,$B$7,,,$A$24:$A$50,$C$24:$C$33,$B$4,$B$8,$B$9),1,97)</f>
      </c>
      <c r="CY58" s="5">
        <f>INDEX(CEA_SHOCK_SOLVE($A$12:$D$15,C58,D58,B58,,,,,,$E$13:$E$15,$B$5,$B$6,$B$7,,,$A$24:$A$50,$C$24:$C$33,$B$4,$B$8,$B$9),1,98)</f>
      </c>
      <c r="CZ58" s="5">
        <f>INDEX(CEA_SHOCK_SOLVE($A$12:$D$15,C58,D58,B58,,,,,,$E$13:$E$15,$B$5,$B$6,$B$7,,,$A$24:$A$50,$C$24:$C$33,$B$4,$B$8,$B$9),1,99)</f>
      </c>
      <c r="DA58" s="5">
        <f>INDEX(CEA_SHOCK_SOLVE($A$12:$D$15,C58,D58,B58,,,,,,$E$13:$E$15,$B$5,$B$6,$B$7,,,$A$24:$A$50,$C$24:$C$33,$B$4,$B$8,$B$9),1,100)</f>
      </c>
      <c r="DB58" s="5">
        <f>INDEX(CEA_SHOCK_SOLVE($A$12:$D$15,C58,D58,B58,,,,,,$E$13:$E$15,$B$5,$B$6,$B$7,,,$A$24:$A$50,$C$24:$C$33,$B$4,$B$8,$B$9),1,101)</f>
      </c>
      <c r="DC58" s="5">
        <f>INDEX(CEA_SHOCK_SOLVE($A$12:$D$15,C58,D58,B58,,,,,,$E$13:$E$15,$B$5,$B$6,$B$7,,,$A$24:$A$50,$C$24:$C$33,$B$4,$B$8,$B$9),1,102)</f>
      </c>
      <c r="DD58" s="5">
        <f>INDEX(CEA_SHOCK_SOLVE($A$12:$D$15,C58,D58,B58,,,,,,$E$13:$E$15,$B$5,$B$6,$B$7,,,$A$24:$A$50,$C$24:$C$33,$B$4,$B$8,$B$9),1,103)</f>
      </c>
      <c r="DE58" s="5">
        <f>INDEX(CEA_SHOCK_SOLVE($A$12:$D$15,C58,D58,B58,,,,,,$E$13:$E$15,$B$5,$B$6,$B$7,,,$A$24:$A$50,$C$24:$C$33,$B$4,$B$8,$B$9),1,104)</f>
      </c>
      <c r="DF58" s="5">
        <f>INDEX(CEA_SHOCK_SOLVE($A$12:$D$15,C58,D58,B58,,,,,,$E$13:$E$15,$B$5,$B$6,$B$7,,,$A$24:$A$50,$C$24:$C$33,$B$4,$B$8,$B$9),1,105)</f>
      </c>
      <c r="DG58" s="5">
        <f>INDEX(CEA_SHOCK_SOLVE($A$12:$D$15,C58,D58,B58,,,,,,$E$13:$E$15,$B$5,$B$6,$B$7,,,$A$24:$A$50,$C$24:$C$33,$B$4,$B$8,$B$9),1,106)</f>
      </c>
      <c r="DH58" s="5">
        <f>INDEX(CEA_SHOCK_SOLVE($A$12:$D$15,C58,D58,B58,,,,,,$E$13:$E$15,$B$5,$B$6,$B$7,,,$A$24:$A$50,$C$24:$C$33,$B$4,$B$8,$B$9),1,107)</f>
      </c>
      <c r="DI58" s="5">
        <f>INDEX(CEA_SHOCK_SOLVE($A$12:$D$15,C58,D58,B58,,,,,,$E$13:$E$15,$B$5,$B$6,$B$7,,,$A$24:$A$50,$C$24:$C$33,$B$4,$B$8,$B$9),1,108)</f>
      </c>
      <c r="DJ58" s="5">
        <f>INDEX(CEA_SHOCK_SOLVE($A$12:$D$15,C58,D58,B58,,,,,,$E$13:$E$15,$B$5,$B$6,$B$7,,,$A$24:$A$50,$C$24:$C$33,$B$4,$B$8,$B$9),1,109)</f>
      </c>
      <c r="DK58" s="5">
        <f>INDEX(CEA_SHOCK_SOLVE($A$12:$D$15,C58,D58,B58,,,,,,$E$13:$E$15,$B$5,$B$6,$B$7,,,$A$24:$A$50,$C$24:$C$33,$B$4,$B$8,$B$9),1,110)</f>
      </c>
      <c r="DL58" s="5">
        <f>INDEX(CEA_SHOCK_SOLVE($A$12:$D$15,C58,D58,B58,,,,,,$E$13:$E$15,$B$5,$B$6,$B$7,,,$A$24:$A$50,$C$24:$C$33,$B$4,$B$8,$B$9),1,111)</f>
      </c>
      <c r="DM58" s="5">
        <f>INDEX(CEA_SHOCK_SOLVE($A$12:$D$15,C58,D58,B58,,,,,,$E$13:$E$15,$B$5,$B$6,$B$7,,,$A$24:$A$50,$C$24:$C$33,$B$4,$B$8,$B$9),1,112)</f>
      </c>
      <c r="DN58" s="5">
        <f>INDEX(CEA_SHOCK_SOLVE($A$12:$D$15,C58,D58,B58,,,,,,$E$13:$E$15,$B$5,$B$6,$B$7,,,$A$24:$A$50,$C$24:$C$33,$B$4,$B$8,$B$9),1,113)</f>
      </c>
      <c r="DO58" s="5">
        <f>INDEX(CEA_SHOCK_SOLVE($A$12:$D$15,C58,D58,B58,,,,,,$E$13:$E$15,$B$5,$B$6,$B$7,,,$A$24:$A$50,$C$24:$C$33,$B$4,$B$8,$B$9),1,114)</f>
      </c>
      <c r="DP58" s="5">
        <f>INDEX(CEA_SHOCK_SOLVE($A$12:$D$15,C58,D58,B58,,,,,,$E$13:$E$15,$B$5,$B$6,$B$7,,,$A$24:$A$50,$C$24:$C$33,$B$4,$B$8,$B$9),1,115)</f>
      </c>
      <c r="DQ58" s="5">
        <f>INDEX(CEA_SHOCK_SOLVE($A$12:$D$15,C58,D58,B58,,,,,,$E$13:$E$15,$B$5,$B$6,$B$7,,,$A$24:$A$50,$C$24:$C$33,$B$4,$B$8,$B$9),1,116)</f>
      </c>
      <c r="DR58" s="5">
        <f>INDEX(CEA_SHOCK_SOLVE($A$12:$D$15,C58,D58,B58,,,,,,$E$13:$E$15,$B$5,$B$6,$B$7,,,$A$24:$A$50,$C$24:$C$33,$B$4,$B$8,$B$9),1,117)</f>
      </c>
      <c r="DS58" s="5">
        <f>INDEX(CEA_SHOCK_SOLVE($A$12:$D$15,C58,D58,B58,,,,,,$E$13:$E$15,$B$5,$B$6,$B$7,,,$A$24:$A$50,$C$24:$C$33,$B$4,$B$8,$B$9),1,118)</f>
      </c>
      <c r="DT58" s="5">
        <f>INDEX(CEA_SHOCK_SOLVE($A$12:$D$15,C58,D58,B58,,,,,,$E$13:$E$15,$B$5,$B$6,$B$7,,,$A$24:$A$50,$C$24:$C$33,$B$4,$B$8,$B$9),1,119)</f>
      </c>
      <c r="DU58" s="5">
        <f>INDEX(CEA_SHOCK_SOLVE($A$12:$D$15,C58,D58,B58,,,,,,$E$13:$E$15,$B$5,$B$6,$B$7,,,$A$24:$A$50,$C$24:$C$33,$B$4,$B$8,$B$9),1,120)</f>
      </c>
      <c r="DV58" s="5">
        <f>INDEX(CEA_SHOCK_SOLVE($A$12:$D$15,C58,D58,B58,,,,,,$E$13:$E$15,$B$5,$B$6,$B$7,,,$A$24:$A$50,$C$24:$C$33,$B$4,$B$8,$B$9),1,121)</f>
      </c>
      <c r="DW58" s="5">
        <f>INDEX(CEA_SHOCK_SOLVE($A$12:$D$15,C58,D58,B58,,,,,,$E$13:$E$15,$B$5,$B$6,$B$7,,,$A$24:$A$50,$C$24:$C$33,$B$4,$B$8,$B$9),1,122)</f>
      </c>
      <c r="DX58" s="5">
        <f>INDEX(CEA_SHOCK_SOLVE($A$12:$D$15,C58,D58,B58,,,,,,$E$13:$E$15,$B$5,$B$6,$B$7,,,$A$24:$A$50,$C$24:$C$33,$B$4,$B$8,$B$9),1,123)</f>
      </c>
      <c r="DY58" s="5">
        <f>INDEX(CEA_SHOCK_SOLVE($A$12:$D$15,C58,D58,B58,,,,,,$E$13:$E$15,$B$5,$B$6,$B$7,,,$A$24:$A$50,$C$24:$C$33,$B$4,$B$8,$B$9),1,124)</f>
      </c>
      <c r="DZ58" s="5">
        <f>INDEX(CEA_SHOCK_SOLVE($A$12:$D$15,C58,D58,B58,,,,,,$E$13:$E$15,$B$5,$B$6,$B$7,,,$A$24:$A$50,$C$24:$C$33,$B$4,$B$8,$B$9),1,125)</f>
      </c>
      <c r="EA58" s="5">
        <f>INDEX(CEA_SHOCK_SOLVE($A$12:$D$15,C58,D58,B58,,,,,,$E$13:$E$15,$B$5,$B$6,$B$7,,,$A$24:$A$50,$C$24:$C$33,$B$4,$B$8,$B$9),1,126)</f>
      </c>
      <c r="EB58" s="5">
        <f>INDEX(CEA_SHOCK_SOLVE($A$12:$D$15,C58,D58,B58,,,,,,$E$13:$E$15,$B$5,$B$6,$B$7,,,$A$24:$A$50,$C$24:$C$33,$B$4,$B$8,$B$9),1,127)</f>
      </c>
      <c r="EC58" s="5">
        <f>INDEX(CEA_SHOCK_SOLVE($A$12:$D$15,C58,D58,B58,,,,,,$E$13:$E$15,$B$5,$B$6,$B$7,,,$A$24:$A$50,$C$24:$C$33,$B$4,$B$8,$B$9),1,128)</f>
      </c>
      <c r="ED58" s="5">
        <f>INDEX(CEA_SHOCK_SOLVE($A$12:$D$15,C58,D58,B58,,,,,,$E$13:$E$15,$B$5,$B$6,$B$7,,,$A$24:$A$50,$C$24:$C$33,$B$4,$B$8,$B$9),1,129)</f>
      </c>
      <c r="EE58" s="5">
        <f>INDEX(CEA_SHOCK_SOLVE($A$12:$D$15,C58,D58,B58,,,,,,$E$13:$E$15,$B$5,$B$6,$B$7,,,$A$24:$A$50,$C$24:$C$33,$B$4,$B$8,$B$9),1,130)</f>
      </c>
      <c r="EF58" s="5">
        <f>INDEX(CEA_SHOCK_SOLVE($A$12:$D$15,C58,D58,B58,,,,,,$E$13:$E$15,$B$5,$B$6,$B$7,,,$A$24:$A$50,$C$24:$C$33,$B$4,$B$8,$B$9),1,131)</f>
      </c>
      <c r="EG58" s="5">
        <f>INDEX(CEA_SHOCK_SOLVE($A$12:$D$15,C58,D58,B58,,,,,,$E$13:$E$15,$B$5,$B$6,$B$7,,,$A$24:$A$50,$C$24:$C$33,$B$4,$B$8,$B$9),1,132)</f>
      </c>
      <c r="EH58" s="5">
        <f>INDEX(CEA_SHOCK_SOLVE($A$12:$D$15,C58,D58,B58,,,,,,$E$13:$E$15,$B$5,$B$6,$B$7,,,$A$24:$A$50,$C$24:$C$33,$B$4,$B$8,$B$9),1,133)</f>
      </c>
      <c r="EI58" s="5">
        <f>INDEX(CEA_SHOCK_SOLVE($A$12:$D$15,C58,D58,B58,,,,,,$E$13:$E$15,$B$5,$B$6,$B$7,,,$A$24:$A$50,$C$24:$C$33,$B$4,$B$8,$B$9),1,134)</f>
      </c>
      <c r="EJ58" s="5">
        <f>INDEX(CEA_SHOCK_SOLVE($A$12:$D$15,C58,D58,B58,,,,,,$E$13:$E$15,$B$5,$B$6,$B$7,,,$A$24:$A$50,$C$24:$C$33,$B$4,$B$8,$B$9),1,135)</f>
      </c>
      <c r="EK58" s="5">
        <f>INDEX(CEA_SHOCK_SOLVE($A$12:$D$15,C58,D58,B58,,,,,,$E$13:$E$15,$B$5,$B$6,$B$7,,,$A$24:$A$50,$C$24:$C$33,$B$4,$B$8,$B$9),1,136)</f>
      </c>
      <c r="EL58" s="5">
        <f>INDEX(CEA_SHOCK_SOLVE($A$12:$D$15,C58,D58,B58,,,,,,$E$13:$E$15,$B$5,$B$6,$B$7,,,$A$24:$A$50,$C$24:$C$33,$B$4,$B$8,$B$9),1,137)</f>
      </c>
      <c r="EM58" s="5">
        <f>INDEX(CEA_SHOCK_SOLVE($A$12:$D$15,C58,D58,B58,,,,,,$E$13:$E$15,$B$5,$B$6,$B$7,,,$A$24:$A$50,$C$24:$C$33,$B$4,$B$8,$B$9),1,138)</f>
      </c>
      <c r="EN58" s="5">
        <f>INDEX(CEA_SHOCK_SOLVE($A$12:$D$15,C58,D58,B58,,,,,,$E$13:$E$15,$B$5,$B$6,$B$7,,,$A$24:$A$50,$C$24:$C$33,$B$4,$B$8,$B$9),1,139)</f>
      </c>
      <c r="EO58" s="5">
        <f>INDEX(CEA_SHOCK_SOLVE($A$12:$D$15,C58,D58,B58,,,,,,$E$13:$E$15,$B$5,$B$6,$B$7,,,$A$24:$A$50,$C$24:$C$33,$B$4,$B$8,$B$9),1,140)</f>
      </c>
      <c r="EP58" s="5">
        <f>INDEX(CEA_SHOCK_SOLVE($A$12:$D$15,C58,D58,B58,,,,,,$E$13:$E$15,$B$5,$B$6,$B$7,,,$A$24:$A$50,$C$24:$C$33,$B$4,$B$8,$B$9),1,141)</f>
      </c>
      <c r="EQ58" s="5">
        <f>INDEX(CEA_SHOCK_SOLVE($A$12:$D$15,C58,D58,B58,,,,,,$E$13:$E$15,$B$5,$B$6,$B$7,,,$A$24:$A$50,$C$24:$C$33,$B$4,$B$8,$B$9),1,142)</f>
      </c>
      <c r="ER58" s="5">
        <f>INDEX(CEA_SHOCK_SOLVE($A$12:$D$15,C58,D58,B58,,,,,,$E$13:$E$15,$B$5,$B$6,$B$7,,,$A$24:$A$50,$C$24:$C$33,$B$4,$B$8,$B$9),1,143)</f>
      </c>
      <c r="ES58" s="5">
        <f>INDEX(CEA_SHOCK_SOLVE($A$12:$D$15,C58,D58,B58,,,,,,$E$13:$E$15,$B$5,$B$6,$B$7,,,$A$24:$A$50,$C$24:$C$33,$B$4,$B$8,$B$9),1,144)</f>
      </c>
    </row>
    <row r="59" spans="1:149" x14ac:dyDescent="0.2">
      <c r="A59" s="9">
        <v>3</v>
      </c>
      <c r="B59" s="4">
        <v>1250</v>
      </c>
      <c r="C59" s="5">
        <f>$B$18</f>
      </c>
      <c r="D59" s="5">
        <f>$B$20</f>
      </c>
      <c r="E59" t="inlineStr" s="6">
        <is>
          <t>$E$13:$E$15</t>
        </is>
      </c>
      <c r="F59" s="5">
        <f>INDEX(CEA_SHOCK_SOLVE($A$12:$D$15,C59,D59,B59,,,,,,$E$13:$E$15,$B$5,$B$6,$B$7,,,$A$24:$A$50,$C$24:$C$33,$B$4,$B$8,$B$9),1,1)</f>
      </c>
      <c r="G59" s="5">
        <f>INDEX(CEA_SHOCK_SOLVE($A$12:$D$15,C59,D59,B59,,,,,,$E$13:$E$15,$B$5,$B$6,$B$7,,,$A$24:$A$50,$C$24:$C$33,$B$4,$B$8,$B$9),1,2)</f>
      </c>
      <c r="H59" s="5">
        <f>INDEX(CEA_SHOCK_SOLVE($A$12:$D$15,C59,D59,B59,,,,,,$E$13:$E$15,$B$5,$B$6,$B$7,,,$A$24:$A$50,$C$24:$C$33,$B$4,$B$8,$B$9),1,3)</f>
      </c>
      <c r="I59" s="5">
        <f>INDEX(CEA_SHOCK_SOLVE($A$12:$D$15,C59,D59,B59,,,,,,$E$13:$E$15,$B$5,$B$6,$B$7,,,$A$24:$A$50,$C$24:$C$33,$B$4,$B$8,$B$9),1,4)</f>
      </c>
      <c r="J59" s="5">
        <f>INDEX(CEA_SHOCK_SOLVE($A$12:$D$15,C59,D59,B59,,,,,,$E$13:$E$15,$B$5,$B$6,$B$7,,,$A$24:$A$50,$C$24:$C$33,$B$4,$B$8,$B$9),1,5)</f>
      </c>
      <c r="K59" s="5">
        <f>INDEX(CEA_SHOCK_SOLVE($A$12:$D$15,C59,D59,B59,,,,,,$E$13:$E$15,$B$5,$B$6,$B$7,,,$A$24:$A$50,$C$24:$C$33,$B$4,$B$8,$B$9),1,6)</f>
      </c>
      <c r="L59" s="5">
        <f>INDEX(CEA_SHOCK_SOLVE($A$12:$D$15,C59,D59,B59,,,,,,$E$13:$E$15,$B$5,$B$6,$B$7,,,$A$24:$A$50,$C$24:$C$33,$B$4,$B$8,$B$9),1,7)</f>
      </c>
      <c r="M59" s="5">
        <f>INDEX(CEA_SHOCK_SOLVE($A$12:$D$15,C59,D59,B59,,,,,,$E$13:$E$15,$B$5,$B$6,$B$7,,,$A$24:$A$50,$C$24:$C$33,$B$4,$B$8,$B$9),1,8)</f>
      </c>
      <c r="N59" s="5">
        <f>INDEX(CEA_SHOCK_SOLVE($A$12:$D$15,C59,D59,B59,,,,,,$E$13:$E$15,$B$5,$B$6,$B$7,,,$A$24:$A$50,$C$24:$C$33,$B$4,$B$8,$B$9),1,9)</f>
      </c>
      <c r="O59" s="5">
        <f>INDEX(CEA_SHOCK_SOLVE($A$12:$D$15,C59,D59,B59,,,,,,$E$13:$E$15,$B$5,$B$6,$B$7,,,$A$24:$A$50,$C$24:$C$33,$B$4,$B$8,$B$9),1,10)</f>
      </c>
      <c r="P59" s="5">
        <f>INDEX(CEA_SHOCK_SOLVE($A$12:$D$15,C59,D59,B59,,,,,,$E$13:$E$15,$B$5,$B$6,$B$7,,,$A$24:$A$50,$C$24:$C$33,$B$4,$B$8,$B$9),1,11)</f>
      </c>
      <c r="Q59" s="5">
        <f>INDEX(CEA_SHOCK_SOLVE($A$12:$D$15,C59,D59,B59,,,,,,$E$13:$E$15,$B$5,$B$6,$B$7,,,$A$24:$A$50,$C$24:$C$33,$B$4,$B$8,$B$9),1,12)</f>
      </c>
      <c r="R59" s="5">
        <f>INDEX(CEA_SHOCK_SOLVE($A$12:$D$15,C59,D59,B59,,,,,,$E$13:$E$15,$B$5,$B$6,$B$7,,,$A$24:$A$50,$C$24:$C$33,$B$4,$B$8,$B$9),1,13)</f>
      </c>
      <c r="S59" s="5">
        <f>INDEX(CEA_SHOCK_SOLVE($A$12:$D$15,C59,D59,B59,,,,,,$E$13:$E$15,$B$5,$B$6,$B$7,,,$A$24:$A$50,$C$24:$C$33,$B$4,$B$8,$B$9),1,14)</f>
      </c>
      <c r="T59" s="5">
        <f>INDEX(CEA_SHOCK_SOLVE($A$12:$D$15,C59,D59,B59,,,,,,$E$13:$E$15,$B$5,$B$6,$B$7,,,$A$24:$A$50,$C$24:$C$33,$B$4,$B$8,$B$9),1,15)</f>
      </c>
      <c r="U59" s="5">
        <f>INDEX(CEA_SHOCK_SOLVE($A$12:$D$15,C59,D59,B59,,,,,,$E$13:$E$15,$B$5,$B$6,$B$7,,,$A$24:$A$50,$C$24:$C$33,$B$4,$B$8,$B$9),1,16)</f>
      </c>
      <c r="V59" s="5">
        <f>INDEX(CEA_SHOCK_SOLVE($A$12:$D$15,C59,D59,B59,,,,,,$E$13:$E$15,$B$5,$B$6,$B$7,,,$A$24:$A$50,$C$24:$C$33,$B$4,$B$8,$B$9),1,17)</f>
      </c>
      <c r="W59" s="5">
        <f>INDEX(CEA_SHOCK_SOLVE($A$12:$D$15,C59,D59,B59,,,,,,$E$13:$E$15,$B$5,$B$6,$B$7,,,$A$24:$A$50,$C$24:$C$33,$B$4,$B$8,$B$9),1,18)</f>
      </c>
      <c r="X59" s="5">
        <f>INDEX(CEA_SHOCK_SOLVE($A$12:$D$15,C59,D59,B59,,,,,,$E$13:$E$15,$B$5,$B$6,$B$7,,,$A$24:$A$50,$C$24:$C$33,$B$4,$B$8,$B$9),1,19)</f>
      </c>
      <c r="Y59" s="5">
        <f>INDEX(CEA_SHOCK_SOLVE($A$12:$D$15,C59,D59,B59,,,,,,$E$13:$E$15,$B$5,$B$6,$B$7,,,$A$24:$A$50,$C$24:$C$33,$B$4,$B$8,$B$9),1,20)</f>
      </c>
      <c r="Z59" s="5">
        <f>INDEX(CEA_SHOCK_SOLVE($A$12:$D$15,C59,D59,B59,,,,,,$E$13:$E$15,$B$5,$B$6,$B$7,,,$A$24:$A$50,$C$24:$C$33,$B$4,$B$8,$B$9),1,21)</f>
      </c>
      <c r="AA59" s="5">
        <f>INDEX(CEA_SHOCK_SOLVE($A$12:$D$15,C59,D59,B59,,,,,,$E$13:$E$15,$B$5,$B$6,$B$7,,,$A$24:$A$50,$C$24:$C$33,$B$4,$B$8,$B$9),1,22)</f>
      </c>
      <c r="AB59" s="5">
        <f>INDEX(CEA_SHOCK_SOLVE($A$12:$D$15,C59,D59,B59,,,,,,$E$13:$E$15,$B$5,$B$6,$B$7,,,$A$24:$A$50,$C$24:$C$33,$B$4,$B$8,$B$9),1,23)</f>
      </c>
      <c r="AC59" s="5">
        <f>INDEX(CEA_SHOCK_SOLVE($A$12:$D$15,C59,D59,B59,,,,,,$E$13:$E$15,$B$5,$B$6,$B$7,,,$A$24:$A$50,$C$24:$C$33,$B$4,$B$8,$B$9),1,24)</f>
      </c>
      <c r="AD59" s="5">
        <f>INDEX(CEA_SHOCK_SOLVE($A$12:$D$15,C59,D59,B59,,,,,,$E$13:$E$15,$B$5,$B$6,$B$7,,,$A$24:$A$50,$C$24:$C$33,$B$4,$B$8,$B$9),1,25)</f>
      </c>
      <c r="AE59" s="5">
        <f>INDEX(CEA_SHOCK_SOLVE($A$12:$D$15,C59,D59,B59,,,,,,$E$13:$E$15,$B$5,$B$6,$B$7,,,$A$24:$A$50,$C$24:$C$33,$B$4,$B$8,$B$9),1,26)</f>
      </c>
      <c r="AF59" s="5">
        <f>INDEX(CEA_SHOCK_SOLVE($A$12:$D$15,C59,D59,B59,,,,,,$E$13:$E$15,$B$5,$B$6,$B$7,,,$A$24:$A$50,$C$24:$C$33,$B$4,$B$8,$B$9),1,27)</f>
      </c>
      <c r="AG59" s="5">
        <f>INDEX(CEA_SHOCK_SOLVE($A$12:$D$15,C59,D59,B59,,,,,,$E$13:$E$15,$B$5,$B$6,$B$7,,,$A$24:$A$50,$C$24:$C$33,$B$4,$B$8,$B$9),1,28)</f>
      </c>
      <c r="AH59" s="5">
        <f>INDEX(CEA_SHOCK_SOLVE($A$12:$D$15,C59,D59,B59,,,,,,$E$13:$E$15,$B$5,$B$6,$B$7,,,$A$24:$A$50,$C$24:$C$33,$B$4,$B$8,$B$9),1,29)</f>
      </c>
      <c r="AI59" s="5">
        <f>INDEX(CEA_SHOCK_SOLVE($A$12:$D$15,C59,D59,B59,,,,,,$E$13:$E$15,$B$5,$B$6,$B$7,,,$A$24:$A$50,$C$24:$C$33,$B$4,$B$8,$B$9),1,30)</f>
      </c>
      <c r="AJ59" s="5">
        <f>INDEX(CEA_SHOCK_SOLVE($A$12:$D$15,C59,D59,B59,,,,,,$E$13:$E$15,$B$5,$B$6,$B$7,,,$A$24:$A$50,$C$24:$C$33,$B$4,$B$8,$B$9),1,31)</f>
      </c>
      <c r="AK59" s="5">
        <f>INDEX(CEA_SHOCK_SOLVE($A$12:$D$15,C59,D59,B59,,,,,,$E$13:$E$15,$B$5,$B$6,$B$7,,,$A$24:$A$50,$C$24:$C$33,$B$4,$B$8,$B$9),1,32)</f>
      </c>
      <c r="AL59" s="5">
        <f>INDEX(CEA_SHOCK_SOLVE($A$12:$D$15,C59,D59,B59,,,,,,$E$13:$E$15,$B$5,$B$6,$B$7,,,$A$24:$A$50,$C$24:$C$33,$B$4,$B$8,$B$9),1,33)</f>
      </c>
      <c r="AM59" s="5">
        <f>INDEX(CEA_SHOCK_SOLVE($A$12:$D$15,C59,D59,B59,,,,,,$E$13:$E$15,$B$5,$B$6,$B$7,,,$A$24:$A$50,$C$24:$C$33,$B$4,$B$8,$B$9),1,34)</f>
      </c>
      <c r="AN59" s="5">
        <f>INDEX(CEA_SHOCK_SOLVE($A$12:$D$15,C59,D59,B59,,,,,,$E$13:$E$15,$B$5,$B$6,$B$7,,,$A$24:$A$50,$C$24:$C$33,$B$4,$B$8,$B$9),1,35)</f>
      </c>
      <c r="AO59" s="5">
        <f>INDEX(CEA_SHOCK_SOLVE($A$12:$D$15,C59,D59,B59,,,,,,$E$13:$E$15,$B$5,$B$6,$B$7,,,$A$24:$A$50,$C$24:$C$33,$B$4,$B$8,$B$9),1,36)</f>
      </c>
      <c r="AP59" s="5">
        <f>INDEX(CEA_SHOCK_SOLVE($A$12:$D$15,C59,D59,B59,,,,,,$E$13:$E$15,$B$5,$B$6,$B$7,,,$A$24:$A$50,$C$24:$C$33,$B$4,$B$8,$B$9),1,37)</f>
      </c>
      <c r="AQ59" s="5">
        <f>INDEX(CEA_SHOCK_SOLVE($A$12:$D$15,C59,D59,B59,,,,,,$E$13:$E$15,$B$5,$B$6,$B$7,,,$A$24:$A$50,$C$24:$C$33,$B$4,$B$8,$B$9),1,38)</f>
      </c>
      <c r="AR59" s="5">
        <f>INDEX(CEA_SHOCK_SOLVE($A$12:$D$15,C59,D59,B59,,,,,,$E$13:$E$15,$B$5,$B$6,$B$7,,,$A$24:$A$50,$C$24:$C$33,$B$4,$B$8,$B$9),1,39)</f>
      </c>
      <c r="AS59" s="5">
        <f>INDEX(CEA_SHOCK_SOLVE($A$12:$D$15,C59,D59,B59,,,,,,$E$13:$E$15,$B$5,$B$6,$B$7,,,$A$24:$A$50,$C$24:$C$33,$B$4,$B$8,$B$9),1,40)</f>
      </c>
      <c r="AT59" s="5">
        <f>INDEX(CEA_SHOCK_SOLVE($A$12:$D$15,C59,D59,B59,,,,,,$E$13:$E$15,$B$5,$B$6,$B$7,,,$A$24:$A$50,$C$24:$C$33,$B$4,$B$8,$B$9),1,41)</f>
      </c>
      <c r="AU59" s="5">
        <f>INDEX(CEA_SHOCK_SOLVE($A$12:$D$15,C59,D59,B59,,,,,,$E$13:$E$15,$B$5,$B$6,$B$7,,,$A$24:$A$50,$C$24:$C$33,$B$4,$B$8,$B$9),1,42)</f>
      </c>
      <c r="AV59" s="5">
        <f>INDEX(CEA_SHOCK_SOLVE($A$12:$D$15,C59,D59,B59,,,,,,$E$13:$E$15,$B$5,$B$6,$B$7,,,$A$24:$A$50,$C$24:$C$33,$B$4,$B$8,$B$9),1,43)</f>
      </c>
      <c r="AW59" s="5">
        <f>INDEX(CEA_SHOCK_SOLVE($A$12:$D$15,C59,D59,B59,,,,,,$E$13:$E$15,$B$5,$B$6,$B$7,,,$A$24:$A$50,$C$24:$C$33,$B$4,$B$8,$B$9),1,44)</f>
      </c>
      <c r="AX59" s="5">
        <f>INDEX(CEA_SHOCK_SOLVE($A$12:$D$15,C59,D59,B59,,,,,,$E$13:$E$15,$B$5,$B$6,$B$7,,,$A$24:$A$50,$C$24:$C$33,$B$4,$B$8,$B$9),1,45)</f>
      </c>
      <c r="AY59" s="5">
        <f>INDEX(CEA_SHOCK_SOLVE($A$12:$D$15,C59,D59,B59,,,,,,$E$13:$E$15,$B$5,$B$6,$B$7,,,$A$24:$A$50,$C$24:$C$33,$B$4,$B$8,$B$9),1,46)</f>
      </c>
      <c r="AZ59" s="5">
        <f>INDEX(CEA_SHOCK_SOLVE($A$12:$D$15,C59,D59,B59,,,,,,$E$13:$E$15,$B$5,$B$6,$B$7,,,$A$24:$A$50,$C$24:$C$33,$B$4,$B$8,$B$9),1,47)</f>
      </c>
      <c r="BA59" s="5">
        <f>INDEX(CEA_SHOCK_SOLVE($A$12:$D$15,C59,D59,B59,,,,,,$E$13:$E$15,$B$5,$B$6,$B$7,,,$A$24:$A$50,$C$24:$C$33,$B$4,$B$8,$B$9),1,48)</f>
      </c>
      <c r="BB59" s="5">
        <f>INDEX(CEA_SHOCK_SOLVE($A$12:$D$15,C59,D59,B59,,,,,,$E$13:$E$15,$B$5,$B$6,$B$7,,,$A$24:$A$50,$C$24:$C$33,$B$4,$B$8,$B$9),1,49)</f>
      </c>
      <c r="BC59" s="5">
        <f>INDEX(CEA_SHOCK_SOLVE($A$12:$D$15,C59,D59,B59,,,,,,$E$13:$E$15,$B$5,$B$6,$B$7,,,$A$24:$A$50,$C$24:$C$33,$B$4,$B$8,$B$9),1,50)</f>
      </c>
      <c r="BD59" s="5">
        <f>INDEX(CEA_SHOCK_SOLVE($A$12:$D$15,C59,D59,B59,,,,,,$E$13:$E$15,$B$5,$B$6,$B$7,,,$A$24:$A$50,$C$24:$C$33,$B$4,$B$8,$B$9),1,51)</f>
      </c>
      <c r="BE59" s="5">
        <f>INDEX(CEA_SHOCK_SOLVE($A$12:$D$15,C59,D59,B59,,,,,,$E$13:$E$15,$B$5,$B$6,$B$7,,,$A$24:$A$50,$C$24:$C$33,$B$4,$B$8,$B$9),1,52)</f>
      </c>
      <c r="BF59" s="5">
        <f>INDEX(CEA_SHOCK_SOLVE($A$12:$D$15,C59,D59,B59,,,,,,$E$13:$E$15,$B$5,$B$6,$B$7,,,$A$24:$A$50,$C$24:$C$33,$B$4,$B$8,$B$9),1,53)</f>
      </c>
      <c r="BG59" s="5">
        <f>INDEX(CEA_SHOCK_SOLVE($A$12:$D$15,C59,D59,B59,,,,,,$E$13:$E$15,$B$5,$B$6,$B$7,,,$A$24:$A$50,$C$24:$C$33,$B$4,$B$8,$B$9),1,54)</f>
      </c>
      <c r="BH59" s="5">
        <f>INDEX(CEA_SHOCK_SOLVE($A$12:$D$15,C59,D59,B59,,,,,,$E$13:$E$15,$B$5,$B$6,$B$7,,,$A$24:$A$50,$C$24:$C$33,$B$4,$B$8,$B$9),1,55)</f>
      </c>
      <c r="BI59" s="5">
        <f>INDEX(CEA_SHOCK_SOLVE($A$12:$D$15,C59,D59,B59,,,,,,$E$13:$E$15,$B$5,$B$6,$B$7,,,$A$24:$A$50,$C$24:$C$33,$B$4,$B$8,$B$9),1,56)</f>
      </c>
      <c r="BJ59" s="5">
        <f>INDEX(CEA_SHOCK_SOLVE($A$12:$D$15,C59,D59,B59,,,,,,$E$13:$E$15,$B$5,$B$6,$B$7,,,$A$24:$A$50,$C$24:$C$33,$B$4,$B$8,$B$9),1,57)</f>
      </c>
      <c r="BK59" s="5">
        <f>INDEX(CEA_SHOCK_SOLVE($A$12:$D$15,C59,D59,B59,,,,,,$E$13:$E$15,$B$5,$B$6,$B$7,,,$A$24:$A$50,$C$24:$C$33,$B$4,$B$8,$B$9),1,58)</f>
      </c>
      <c r="BL59" s="5">
        <f>INDEX(CEA_SHOCK_SOLVE($A$12:$D$15,C59,D59,B59,,,,,,$E$13:$E$15,$B$5,$B$6,$B$7,,,$A$24:$A$50,$C$24:$C$33,$B$4,$B$8,$B$9),1,59)</f>
      </c>
      <c r="BM59" s="5">
        <f>INDEX(CEA_SHOCK_SOLVE($A$12:$D$15,C59,D59,B59,,,,,,$E$13:$E$15,$B$5,$B$6,$B$7,,,$A$24:$A$50,$C$24:$C$33,$B$4,$B$8,$B$9),1,60)</f>
      </c>
      <c r="BN59" s="5">
        <f>INDEX(CEA_SHOCK_SOLVE($A$12:$D$15,C59,D59,B59,,,,,,$E$13:$E$15,$B$5,$B$6,$B$7,,,$A$24:$A$50,$C$24:$C$33,$B$4,$B$8,$B$9),1,61)</f>
      </c>
      <c r="BO59" s="5">
        <f>INDEX(CEA_SHOCK_SOLVE($A$12:$D$15,C59,D59,B59,,,,,,$E$13:$E$15,$B$5,$B$6,$B$7,,,$A$24:$A$50,$C$24:$C$33,$B$4,$B$8,$B$9),1,62)</f>
      </c>
      <c r="BP59" s="5">
        <f>INDEX(CEA_SHOCK_SOLVE($A$12:$D$15,C59,D59,B59,,,,,,$E$13:$E$15,$B$5,$B$6,$B$7,,,$A$24:$A$50,$C$24:$C$33,$B$4,$B$8,$B$9),1,63)</f>
      </c>
      <c r="BQ59" s="5">
        <f>INDEX(CEA_SHOCK_SOLVE($A$12:$D$15,C59,D59,B59,,,,,,$E$13:$E$15,$B$5,$B$6,$B$7,,,$A$24:$A$50,$C$24:$C$33,$B$4,$B$8,$B$9),1,64)</f>
      </c>
      <c r="BR59" s="5">
        <f>INDEX(CEA_SHOCK_SOLVE($A$12:$D$15,C59,D59,B59,,,,,,$E$13:$E$15,$B$5,$B$6,$B$7,,,$A$24:$A$50,$C$24:$C$33,$B$4,$B$8,$B$9),1,65)</f>
      </c>
      <c r="BS59" s="5">
        <f>INDEX(CEA_SHOCK_SOLVE($A$12:$D$15,C59,D59,B59,,,,,,$E$13:$E$15,$B$5,$B$6,$B$7,,,$A$24:$A$50,$C$24:$C$33,$B$4,$B$8,$B$9),1,66)</f>
      </c>
      <c r="BT59" s="5">
        <f>INDEX(CEA_SHOCK_SOLVE($A$12:$D$15,C59,D59,B59,,,,,,$E$13:$E$15,$B$5,$B$6,$B$7,,,$A$24:$A$50,$C$24:$C$33,$B$4,$B$8,$B$9),1,67)</f>
      </c>
      <c r="BU59" s="5">
        <f>INDEX(CEA_SHOCK_SOLVE($A$12:$D$15,C59,D59,B59,,,,,,$E$13:$E$15,$B$5,$B$6,$B$7,,,$A$24:$A$50,$C$24:$C$33,$B$4,$B$8,$B$9),1,68)</f>
      </c>
      <c r="BV59" s="5">
        <f>INDEX(CEA_SHOCK_SOLVE($A$12:$D$15,C59,D59,B59,,,,,,$E$13:$E$15,$B$5,$B$6,$B$7,,,$A$24:$A$50,$C$24:$C$33,$B$4,$B$8,$B$9),1,69)</f>
      </c>
      <c r="BW59" s="5">
        <f>INDEX(CEA_SHOCK_SOLVE($A$12:$D$15,C59,D59,B59,,,,,,$E$13:$E$15,$B$5,$B$6,$B$7,,,$A$24:$A$50,$C$24:$C$33,$B$4,$B$8,$B$9),1,70)</f>
      </c>
      <c r="BX59" s="5">
        <f>INDEX(CEA_SHOCK_SOLVE($A$12:$D$15,C59,D59,B59,,,,,,$E$13:$E$15,$B$5,$B$6,$B$7,,,$A$24:$A$50,$C$24:$C$33,$B$4,$B$8,$B$9),1,71)</f>
      </c>
      <c r="BY59" s="5">
        <f>INDEX(CEA_SHOCK_SOLVE($A$12:$D$15,C59,D59,B59,,,,,,$E$13:$E$15,$B$5,$B$6,$B$7,,,$A$24:$A$50,$C$24:$C$33,$B$4,$B$8,$B$9),1,72)</f>
      </c>
      <c r="BZ59" s="5">
        <f>INDEX(CEA_SHOCK_SOLVE($A$12:$D$15,C59,D59,B59,,,,,,$E$13:$E$15,$B$5,$B$6,$B$7,,,$A$24:$A$50,$C$24:$C$33,$B$4,$B$8,$B$9),1,73)</f>
      </c>
      <c r="CA59" s="5">
        <f>INDEX(CEA_SHOCK_SOLVE($A$12:$D$15,C59,D59,B59,,,,,,$E$13:$E$15,$B$5,$B$6,$B$7,,,$A$24:$A$50,$C$24:$C$33,$B$4,$B$8,$B$9),1,74)</f>
      </c>
      <c r="CB59" s="5">
        <f>INDEX(CEA_SHOCK_SOLVE($A$12:$D$15,C59,D59,B59,,,,,,$E$13:$E$15,$B$5,$B$6,$B$7,,,$A$24:$A$50,$C$24:$C$33,$B$4,$B$8,$B$9),1,75)</f>
      </c>
      <c r="CC59" s="5">
        <f>INDEX(CEA_SHOCK_SOLVE($A$12:$D$15,C59,D59,B59,,,,,,$E$13:$E$15,$B$5,$B$6,$B$7,,,$A$24:$A$50,$C$24:$C$33,$B$4,$B$8,$B$9),1,76)</f>
      </c>
      <c r="CD59" s="5">
        <f>INDEX(CEA_SHOCK_SOLVE($A$12:$D$15,C59,D59,B59,,,,,,$E$13:$E$15,$B$5,$B$6,$B$7,,,$A$24:$A$50,$C$24:$C$33,$B$4,$B$8,$B$9),1,77)</f>
      </c>
      <c r="CE59" s="5">
        <f>INDEX(CEA_SHOCK_SOLVE($A$12:$D$15,C59,D59,B59,,,,,,$E$13:$E$15,$B$5,$B$6,$B$7,,,$A$24:$A$50,$C$24:$C$33,$B$4,$B$8,$B$9),1,78)</f>
      </c>
      <c r="CF59" s="5">
        <f>INDEX(CEA_SHOCK_SOLVE($A$12:$D$15,C59,D59,B59,,,,,,$E$13:$E$15,$B$5,$B$6,$B$7,,,$A$24:$A$50,$C$24:$C$33,$B$4,$B$8,$B$9),1,79)</f>
      </c>
      <c r="CG59" s="5">
        <f>INDEX(CEA_SHOCK_SOLVE($A$12:$D$15,C59,D59,B59,,,,,,$E$13:$E$15,$B$5,$B$6,$B$7,,,$A$24:$A$50,$C$24:$C$33,$B$4,$B$8,$B$9),1,80)</f>
      </c>
      <c r="CH59" s="5">
        <f>INDEX(CEA_SHOCK_SOLVE($A$12:$D$15,C59,D59,B59,,,,,,$E$13:$E$15,$B$5,$B$6,$B$7,,,$A$24:$A$50,$C$24:$C$33,$B$4,$B$8,$B$9),1,81)</f>
      </c>
      <c r="CI59" s="5">
        <f>INDEX(CEA_SHOCK_SOLVE($A$12:$D$15,C59,D59,B59,,,,,,$E$13:$E$15,$B$5,$B$6,$B$7,,,$A$24:$A$50,$C$24:$C$33,$B$4,$B$8,$B$9),1,82)</f>
      </c>
      <c r="CJ59" s="5">
        <f>INDEX(CEA_SHOCK_SOLVE($A$12:$D$15,C59,D59,B59,,,,,,$E$13:$E$15,$B$5,$B$6,$B$7,,,$A$24:$A$50,$C$24:$C$33,$B$4,$B$8,$B$9),1,83)</f>
      </c>
      <c r="CK59" s="5">
        <f>INDEX(CEA_SHOCK_SOLVE($A$12:$D$15,C59,D59,B59,,,,,,$E$13:$E$15,$B$5,$B$6,$B$7,,,$A$24:$A$50,$C$24:$C$33,$B$4,$B$8,$B$9),1,84)</f>
      </c>
      <c r="CL59" s="5">
        <f>INDEX(CEA_SHOCK_SOLVE($A$12:$D$15,C59,D59,B59,,,,,,$E$13:$E$15,$B$5,$B$6,$B$7,,,$A$24:$A$50,$C$24:$C$33,$B$4,$B$8,$B$9),1,85)</f>
      </c>
      <c r="CM59" s="5">
        <f>INDEX(CEA_SHOCK_SOLVE($A$12:$D$15,C59,D59,B59,,,,,,$E$13:$E$15,$B$5,$B$6,$B$7,,,$A$24:$A$50,$C$24:$C$33,$B$4,$B$8,$B$9),1,86)</f>
      </c>
      <c r="CN59" s="5">
        <f>INDEX(CEA_SHOCK_SOLVE($A$12:$D$15,C59,D59,B59,,,,,,$E$13:$E$15,$B$5,$B$6,$B$7,,,$A$24:$A$50,$C$24:$C$33,$B$4,$B$8,$B$9),1,87)</f>
      </c>
      <c r="CO59" s="5">
        <f>INDEX(CEA_SHOCK_SOLVE($A$12:$D$15,C59,D59,B59,,,,,,$E$13:$E$15,$B$5,$B$6,$B$7,,,$A$24:$A$50,$C$24:$C$33,$B$4,$B$8,$B$9),1,88)</f>
      </c>
      <c r="CP59" s="5">
        <f>INDEX(CEA_SHOCK_SOLVE($A$12:$D$15,C59,D59,B59,,,,,,$E$13:$E$15,$B$5,$B$6,$B$7,,,$A$24:$A$50,$C$24:$C$33,$B$4,$B$8,$B$9),1,89)</f>
      </c>
      <c r="CQ59" s="5">
        <f>INDEX(CEA_SHOCK_SOLVE($A$12:$D$15,C59,D59,B59,,,,,,$E$13:$E$15,$B$5,$B$6,$B$7,,,$A$24:$A$50,$C$24:$C$33,$B$4,$B$8,$B$9),1,90)</f>
      </c>
      <c r="CR59" s="5">
        <f>INDEX(CEA_SHOCK_SOLVE($A$12:$D$15,C59,D59,B59,,,,,,$E$13:$E$15,$B$5,$B$6,$B$7,,,$A$24:$A$50,$C$24:$C$33,$B$4,$B$8,$B$9),1,91)</f>
      </c>
      <c r="CS59" s="5">
        <f>INDEX(CEA_SHOCK_SOLVE($A$12:$D$15,C59,D59,B59,,,,,,$E$13:$E$15,$B$5,$B$6,$B$7,,,$A$24:$A$50,$C$24:$C$33,$B$4,$B$8,$B$9),1,92)</f>
      </c>
      <c r="CT59" s="5">
        <f>INDEX(CEA_SHOCK_SOLVE($A$12:$D$15,C59,D59,B59,,,,,,$E$13:$E$15,$B$5,$B$6,$B$7,,,$A$24:$A$50,$C$24:$C$33,$B$4,$B$8,$B$9),1,93)</f>
      </c>
      <c r="CU59" s="5">
        <f>INDEX(CEA_SHOCK_SOLVE($A$12:$D$15,C59,D59,B59,,,,,,$E$13:$E$15,$B$5,$B$6,$B$7,,,$A$24:$A$50,$C$24:$C$33,$B$4,$B$8,$B$9),1,94)</f>
      </c>
      <c r="CV59" s="5">
        <f>INDEX(CEA_SHOCK_SOLVE($A$12:$D$15,C59,D59,B59,,,,,,$E$13:$E$15,$B$5,$B$6,$B$7,,,$A$24:$A$50,$C$24:$C$33,$B$4,$B$8,$B$9),1,95)</f>
      </c>
      <c r="CW59" s="5">
        <f>INDEX(CEA_SHOCK_SOLVE($A$12:$D$15,C59,D59,B59,,,,,,$E$13:$E$15,$B$5,$B$6,$B$7,,,$A$24:$A$50,$C$24:$C$33,$B$4,$B$8,$B$9),1,96)</f>
      </c>
      <c r="CX59" s="5">
        <f>INDEX(CEA_SHOCK_SOLVE($A$12:$D$15,C59,D59,B59,,,,,,$E$13:$E$15,$B$5,$B$6,$B$7,,,$A$24:$A$50,$C$24:$C$33,$B$4,$B$8,$B$9),1,97)</f>
      </c>
      <c r="CY59" s="5">
        <f>INDEX(CEA_SHOCK_SOLVE($A$12:$D$15,C59,D59,B59,,,,,,$E$13:$E$15,$B$5,$B$6,$B$7,,,$A$24:$A$50,$C$24:$C$33,$B$4,$B$8,$B$9),1,98)</f>
      </c>
      <c r="CZ59" s="5">
        <f>INDEX(CEA_SHOCK_SOLVE($A$12:$D$15,C59,D59,B59,,,,,,$E$13:$E$15,$B$5,$B$6,$B$7,,,$A$24:$A$50,$C$24:$C$33,$B$4,$B$8,$B$9),1,99)</f>
      </c>
      <c r="DA59" s="5">
        <f>INDEX(CEA_SHOCK_SOLVE($A$12:$D$15,C59,D59,B59,,,,,,$E$13:$E$15,$B$5,$B$6,$B$7,,,$A$24:$A$50,$C$24:$C$33,$B$4,$B$8,$B$9),1,100)</f>
      </c>
      <c r="DB59" s="5">
        <f>INDEX(CEA_SHOCK_SOLVE($A$12:$D$15,C59,D59,B59,,,,,,$E$13:$E$15,$B$5,$B$6,$B$7,,,$A$24:$A$50,$C$24:$C$33,$B$4,$B$8,$B$9),1,101)</f>
      </c>
      <c r="DC59" s="5">
        <f>INDEX(CEA_SHOCK_SOLVE($A$12:$D$15,C59,D59,B59,,,,,,$E$13:$E$15,$B$5,$B$6,$B$7,,,$A$24:$A$50,$C$24:$C$33,$B$4,$B$8,$B$9),1,102)</f>
      </c>
      <c r="DD59" s="5">
        <f>INDEX(CEA_SHOCK_SOLVE($A$12:$D$15,C59,D59,B59,,,,,,$E$13:$E$15,$B$5,$B$6,$B$7,,,$A$24:$A$50,$C$24:$C$33,$B$4,$B$8,$B$9),1,103)</f>
      </c>
      <c r="DE59" s="5">
        <f>INDEX(CEA_SHOCK_SOLVE($A$12:$D$15,C59,D59,B59,,,,,,$E$13:$E$15,$B$5,$B$6,$B$7,,,$A$24:$A$50,$C$24:$C$33,$B$4,$B$8,$B$9),1,104)</f>
      </c>
      <c r="DF59" s="5">
        <f>INDEX(CEA_SHOCK_SOLVE($A$12:$D$15,C59,D59,B59,,,,,,$E$13:$E$15,$B$5,$B$6,$B$7,,,$A$24:$A$50,$C$24:$C$33,$B$4,$B$8,$B$9),1,105)</f>
      </c>
      <c r="DG59" s="5">
        <f>INDEX(CEA_SHOCK_SOLVE($A$12:$D$15,C59,D59,B59,,,,,,$E$13:$E$15,$B$5,$B$6,$B$7,,,$A$24:$A$50,$C$24:$C$33,$B$4,$B$8,$B$9),1,106)</f>
      </c>
      <c r="DH59" s="5">
        <f>INDEX(CEA_SHOCK_SOLVE($A$12:$D$15,C59,D59,B59,,,,,,$E$13:$E$15,$B$5,$B$6,$B$7,,,$A$24:$A$50,$C$24:$C$33,$B$4,$B$8,$B$9),1,107)</f>
      </c>
      <c r="DI59" s="5">
        <f>INDEX(CEA_SHOCK_SOLVE($A$12:$D$15,C59,D59,B59,,,,,,$E$13:$E$15,$B$5,$B$6,$B$7,,,$A$24:$A$50,$C$24:$C$33,$B$4,$B$8,$B$9),1,108)</f>
      </c>
      <c r="DJ59" s="5">
        <f>INDEX(CEA_SHOCK_SOLVE($A$12:$D$15,C59,D59,B59,,,,,,$E$13:$E$15,$B$5,$B$6,$B$7,,,$A$24:$A$50,$C$24:$C$33,$B$4,$B$8,$B$9),1,109)</f>
      </c>
      <c r="DK59" s="5">
        <f>INDEX(CEA_SHOCK_SOLVE($A$12:$D$15,C59,D59,B59,,,,,,$E$13:$E$15,$B$5,$B$6,$B$7,,,$A$24:$A$50,$C$24:$C$33,$B$4,$B$8,$B$9),1,110)</f>
      </c>
      <c r="DL59" s="5">
        <f>INDEX(CEA_SHOCK_SOLVE($A$12:$D$15,C59,D59,B59,,,,,,$E$13:$E$15,$B$5,$B$6,$B$7,,,$A$24:$A$50,$C$24:$C$33,$B$4,$B$8,$B$9),1,111)</f>
      </c>
      <c r="DM59" s="5">
        <f>INDEX(CEA_SHOCK_SOLVE($A$12:$D$15,C59,D59,B59,,,,,,$E$13:$E$15,$B$5,$B$6,$B$7,,,$A$24:$A$50,$C$24:$C$33,$B$4,$B$8,$B$9),1,112)</f>
      </c>
      <c r="DN59" s="5">
        <f>INDEX(CEA_SHOCK_SOLVE($A$12:$D$15,C59,D59,B59,,,,,,$E$13:$E$15,$B$5,$B$6,$B$7,,,$A$24:$A$50,$C$24:$C$33,$B$4,$B$8,$B$9),1,113)</f>
      </c>
      <c r="DO59" s="5">
        <f>INDEX(CEA_SHOCK_SOLVE($A$12:$D$15,C59,D59,B59,,,,,,$E$13:$E$15,$B$5,$B$6,$B$7,,,$A$24:$A$50,$C$24:$C$33,$B$4,$B$8,$B$9),1,114)</f>
      </c>
      <c r="DP59" s="5">
        <f>INDEX(CEA_SHOCK_SOLVE($A$12:$D$15,C59,D59,B59,,,,,,$E$13:$E$15,$B$5,$B$6,$B$7,,,$A$24:$A$50,$C$24:$C$33,$B$4,$B$8,$B$9),1,115)</f>
      </c>
      <c r="DQ59" s="5">
        <f>INDEX(CEA_SHOCK_SOLVE($A$12:$D$15,C59,D59,B59,,,,,,$E$13:$E$15,$B$5,$B$6,$B$7,,,$A$24:$A$50,$C$24:$C$33,$B$4,$B$8,$B$9),1,116)</f>
      </c>
      <c r="DR59" s="5">
        <f>INDEX(CEA_SHOCK_SOLVE($A$12:$D$15,C59,D59,B59,,,,,,$E$13:$E$15,$B$5,$B$6,$B$7,,,$A$24:$A$50,$C$24:$C$33,$B$4,$B$8,$B$9),1,117)</f>
      </c>
      <c r="DS59" s="5">
        <f>INDEX(CEA_SHOCK_SOLVE($A$12:$D$15,C59,D59,B59,,,,,,$E$13:$E$15,$B$5,$B$6,$B$7,,,$A$24:$A$50,$C$24:$C$33,$B$4,$B$8,$B$9),1,118)</f>
      </c>
      <c r="DT59" s="5">
        <f>INDEX(CEA_SHOCK_SOLVE($A$12:$D$15,C59,D59,B59,,,,,,$E$13:$E$15,$B$5,$B$6,$B$7,,,$A$24:$A$50,$C$24:$C$33,$B$4,$B$8,$B$9),1,119)</f>
      </c>
      <c r="DU59" s="5">
        <f>INDEX(CEA_SHOCK_SOLVE($A$12:$D$15,C59,D59,B59,,,,,,$E$13:$E$15,$B$5,$B$6,$B$7,,,$A$24:$A$50,$C$24:$C$33,$B$4,$B$8,$B$9),1,120)</f>
      </c>
      <c r="DV59" s="5">
        <f>INDEX(CEA_SHOCK_SOLVE($A$12:$D$15,C59,D59,B59,,,,,,$E$13:$E$15,$B$5,$B$6,$B$7,,,$A$24:$A$50,$C$24:$C$33,$B$4,$B$8,$B$9),1,121)</f>
      </c>
      <c r="DW59" s="5">
        <f>INDEX(CEA_SHOCK_SOLVE($A$12:$D$15,C59,D59,B59,,,,,,$E$13:$E$15,$B$5,$B$6,$B$7,,,$A$24:$A$50,$C$24:$C$33,$B$4,$B$8,$B$9),1,122)</f>
      </c>
      <c r="DX59" s="5">
        <f>INDEX(CEA_SHOCK_SOLVE($A$12:$D$15,C59,D59,B59,,,,,,$E$13:$E$15,$B$5,$B$6,$B$7,,,$A$24:$A$50,$C$24:$C$33,$B$4,$B$8,$B$9),1,123)</f>
      </c>
      <c r="DY59" s="5">
        <f>INDEX(CEA_SHOCK_SOLVE($A$12:$D$15,C59,D59,B59,,,,,,$E$13:$E$15,$B$5,$B$6,$B$7,,,$A$24:$A$50,$C$24:$C$33,$B$4,$B$8,$B$9),1,124)</f>
      </c>
      <c r="DZ59" s="5">
        <f>INDEX(CEA_SHOCK_SOLVE($A$12:$D$15,C59,D59,B59,,,,,,$E$13:$E$15,$B$5,$B$6,$B$7,,,$A$24:$A$50,$C$24:$C$33,$B$4,$B$8,$B$9),1,125)</f>
      </c>
      <c r="EA59" s="5">
        <f>INDEX(CEA_SHOCK_SOLVE($A$12:$D$15,C59,D59,B59,,,,,,$E$13:$E$15,$B$5,$B$6,$B$7,,,$A$24:$A$50,$C$24:$C$33,$B$4,$B$8,$B$9),1,126)</f>
      </c>
      <c r="EB59" s="5">
        <f>INDEX(CEA_SHOCK_SOLVE($A$12:$D$15,C59,D59,B59,,,,,,$E$13:$E$15,$B$5,$B$6,$B$7,,,$A$24:$A$50,$C$24:$C$33,$B$4,$B$8,$B$9),1,127)</f>
      </c>
      <c r="EC59" s="5">
        <f>INDEX(CEA_SHOCK_SOLVE($A$12:$D$15,C59,D59,B59,,,,,,$E$13:$E$15,$B$5,$B$6,$B$7,,,$A$24:$A$50,$C$24:$C$33,$B$4,$B$8,$B$9),1,128)</f>
      </c>
      <c r="ED59" s="5">
        <f>INDEX(CEA_SHOCK_SOLVE($A$12:$D$15,C59,D59,B59,,,,,,$E$13:$E$15,$B$5,$B$6,$B$7,,,$A$24:$A$50,$C$24:$C$33,$B$4,$B$8,$B$9),1,129)</f>
      </c>
      <c r="EE59" s="5">
        <f>INDEX(CEA_SHOCK_SOLVE($A$12:$D$15,C59,D59,B59,,,,,,$E$13:$E$15,$B$5,$B$6,$B$7,,,$A$24:$A$50,$C$24:$C$33,$B$4,$B$8,$B$9),1,130)</f>
      </c>
      <c r="EF59" s="5">
        <f>INDEX(CEA_SHOCK_SOLVE($A$12:$D$15,C59,D59,B59,,,,,,$E$13:$E$15,$B$5,$B$6,$B$7,,,$A$24:$A$50,$C$24:$C$33,$B$4,$B$8,$B$9),1,131)</f>
      </c>
      <c r="EG59" s="5">
        <f>INDEX(CEA_SHOCK_SOLVE($A$12:$D$15,C59,D59,B59,,,,,,$E$13:$E$15,$B$5,$B$6,$B$7,,,$A$24:$A$50,$C$24:$C$33,$B$4,$B$8,$B$9),1,132)</f>
      </c>
      <c r="EH59" s="5">
        <f>INDEX(CEA_SHOCK_SOLVE($A$12:$D$15,C59,D59,B59,,,,,,$E$13:$E$15,$B$5,$B$6,$B$7,,,$A$24:$A$50,$C$24:$C$33,$B$4,$B$8,$B$9),1,133)</f>
      </c>
      <c r="EI59" s="5">
        <f>INDEX(CEA_SHOCK_SOLVE($A$12:$D$15,C59,D59,B59,,,,,,$E$13:$E$15,$B$5,$B$6,$B$7,,,$A$24:$A$50,$C$24:$C$33,$B$4,$B$8,$B$9),1,134)</f>
      </c>
      <c r="EJ59" s="5">
        <f>INDEX(CEA_SHOCK_SOLVE($A$12:$D$15,C59,D59,B59,,,,,,$E$13:$E$15,$B$5,$B$6,$B$7,,,$A$24:$A$50,$C$24:$C$33,$B$4,$B$8,$B$9),1,135)</f>
      </c>
      <c r="EK59" s="5">
        <f>INDEX(CEA_SHOCK_SOLVE($A$12:$D$15,C59,D59,B59,,,,,,$E$13:$E$15,$B$5,$B$6,$B$7,,,$A$24:$A$50,$C$24:$C$33,$B$4,$B$8,$B$9),1,136)</f>
      </c>
      <c r="EL59" s="5">
        <f>INDEX(CEA_SHOCK_SOLVE($A$12:$D$15,C59,D59,B59,,,,,,$E$13:$E$15,$B$5,$B$6,$B$7,,,$A$24:$A$50,$C$24:$C$33,$B$4,$B$8,$B$9),1,137)</f>
      </c>
      <c r="EM59" s="5">
        <f>INDEX(CEA_SHOCK_SOLVE($A$12:$D$15,C59,D59,B59,,,,,,$E$13:$E$15,$B$5,$B$6,$B$7,,,$A$24:$A$50,$C$24:$C$33,$B$4,$B$8,$B$9),1,138)</f>
      </c>
      <c r="EN59" s="5">
        <f>INDEX(CEA_SHOCK_SOLVE($A$12:$D$15,C59,D59,B59,,,,,,$E$13:$E$15,$B$5,$B$6,$B$7,,,$A$24:$A$50,$C$24:$C$33,$B$4,$B$8,$B$9),1,139)</f>
      </c>
      <c r="EO59" s="5">
        <f>INDEX(CEA_SHOCK_SOLVE($A$12:$D$15,C59,D59,B59,,,,,,$E$13:$E$15,$B$5,$B$6,$B$7,,,$A$24:$A$50,$C$24:$C$33,$B$4,$B$8,$B$9),1,140)</f>
      </c>
      <c r="EP59" s="5">
        <f>INDEX(CEA_SHOCK_SOLVE($A$12:$D$15,C59,D59,B59,,,,,,$E$13:$E$15,$B$5,$B$6,$B$7,,,$A$24:$A$50,$C$24:$C$33,$B$4,$B$8,$B$9),1,141)</f>
      </c>
      <c r="EQ59" s="5">
        <f>INDEX(CEA_SHOCK_SOLVE($A$12:$D$15,C59,D59,B59,,,,,,$E$13:$E$15,$B$5,$B$6,$B$7,,,$A$24:$A$50,$C$24:$C$33,$B$4,$B$8,$B$9),1,142)</f>
      </c>
      <c r="ER59" s="5">
        <f>INDEX(CEA_SHOCK_SOLVE($A$12:$D$15,C59,D59,B59,,,,,,$E$13:$E$15,$B$5,$B$6,$B$7,,,$A$24:$A$50,$C$24:$C$33,$B$4,$B$8,$B$9),1,143)</f>
      </c>
      <c r="ES59" s="5">
        <f>INDEX(CEA_SHOCK_SOLVE($A$12:$D$15,C59,D59,B59,,,,,,$E$13:$E$15,$B$5,$B$6,$B$7,,,$A$24:$A$50,$C$24:$C$33,$B$4,$B$8,$B$9),1,144)</f>
      </c>
    </row>
    <row r="60" spans="1:149" x14ac:dyDescent="0.2">
      <c r="A60" s="9">
        <v>4</v>
      </c>
      <c r="B60" s="4">
        <v>1300</v>
      </c>
      <c r="C60" s="5">
        <f>$B$18</f>
      </c>
      <c r="D60" s="5">
        <f>$B$20</f>
      </c>
      <c r="E60" t="inlineStr" s="6">
        <is>
          <t>$E$13:$E$15</t>
        </is>
      </c>
      <c r="F60" s="5">
        <f>INDEX(CEA_SHOCK_SOLVE($A$12:$D$15,C60,D60,B60,,,,,,$E$13:$E$15,$B$5,$B$6,$B$7,,,$A$24:$A$50,$C$24:$C$33,$B$4,$B$8,$B$9),1,1)</f>
      </c>
      <c r="G60" s="5">
        <f>INDEX(CEA_SHOCK_SOLVE($A$12:$D$15,C60,D60,B60,,,,,,$E$13:$E$15,$B$5,$B$6,$B$7,,,$A$24:$A$50,$C$24:$C$33,$B$4,$B$8,$B$9),1,2)</f>
      </c>
      <c r="H60" s="5">
        <f>INDEX(CEA_SHOCK_SOLVE($A$12:$D$15,C60,D60,B60,,,,,,$E$13:$E$15,$B$5,$B$6,$B$7,,,$A$24:$A$50,$C$24:$C$33,$B$4,$B$8,$B$9),1,3)</f>
      </c>
      <c r="I60" s="5">
        <f>INDEX(CEA_SHOCK_SOLVE($A$12:$D$15,C60,D60,B60,,,,,,$E$13:$E$15,$B$5,$B$6,$B$7,,,$A$24:$A$50,$C$24:$C$33,$B$4,$B$8,$B$9),1,4)</f>
      </c>
      <c r="J60" s="5">
        <f>INDEX(CEA_SHOCK_SOLVE($A$12:$D$15,C60,D60,B60,,,,,,$E$13:$E$15,$B$5,$B$6,$B$7,,,$A$24:$A$50,$C$24:$C$33,$B$4,$B$8,$B$9),1,5)</f>
      </c>
      <c r="K60" s="5">
        <f>INDEX(CEA_SHOCK_SOLVE($A$12:$D$15,C60,D60,B60,,,,,,$E$13:$E$15,$B$5,$B$6,$B$7,,,$A$24:$A$50,$C$24:$C$33,$B$4,$B$8,$B$9),1,6)</f>
      </c>
      <c r="L60" s="5">
        <f>INDEX(CEA_SHOCK_SOLVE($A$12:$D$15,C60,D60,B60,,,,,,$E$13:$E$15,$B$5,$B$6,$B$7,,,$A$24:$A$50,$C$24:$C$33,$B$4,$B$8,$B$9),1,7)</f>
      </c>
      <c r="M60" s="5">
        <f>INDEX(CEA_SHOCK_SOLVE($A$12:$D$15,C60,D60,B60,,,,,,$E$13:$E$15,$B$5,$B$6,$B$7,,,$A$24:$A$50,$C$24:$C$33,$B$4,$B$8,$B$9),1,8)</f>
      </c>
      <c r="N60" s="5">
        <f>INDEX(CEA_SHOCK_SOLVE($A$12:$D$15,C60,D60,B60,,,,,,$E$13:$E$15,$B$5,$B$6,$B$7,,,$A$24:$A$50,$C$24:$C$33,$B$4,$B$8,$B$9),1,9)</f>
      </c>
      <c r="O60" s="5">
        <f>INDEX(CEA_SHOCK_SOLVE($A$12:$D$15,C60,D60,B60,,,,,,$E$13:$E$15,$B$5,$B$6,$B$7,,,$A$24:$A$50,$C$24:$C$33,$B$4,$B$8,$B$9),1,10)</f>
      </c>
      <c r="P60" s="5">
        <f>INDEX(CEA_SHOCK_SOLVE($A$12:$D$15,C60,D60,B60,,,,,,$E$13:$E$15,$B$5,$B$6,$B$7,,,$A$24:$A$50,$C$24:$C$33,$B$4,$B$8,$B$9),1,11)</f>
      </c>
      <c r="Q60" s="5">
        <f>INDEX(CEA_SHOCK_SOLVE($A$12:$D$15,C60,D60,B60,,,,,,$E$13:$E$15,$B$5,$B$6,$B$7,,,$A$24:$A$50,$C$24:$C$33,$B$4,$B$8,$B$9),1,12)</f>
      </c>
      <c r="R60" s="5">
        <f>INDEX(CEA_SHOCK_SOLVE($A$12:$D$15,C60,D60,B60,,,,,,$E$13:$E$15,$B$5,$B$6,$B$7,,,$A$24:$A$50,$C$24:$C$33,$B$4,$B$8,$B$9),1,13)</f>
      </c>
      <c r="S60" s="5">
        <f>INDEX(CEA_SHOCK_SOLVE($A$12:$D$15,C60,D60,B60,,,,,,$E$13:$E$15,$B$5,$B$6,$B$7,,,$A$24:$A$50,$C$24:$C$33,$B$4,$B$8,$B$9),1,14)</f>
      </c>
      <c r="T60" s="5">
        <f>INDEX(CEA_SHOCK_SOLVE($A$12:$D$15,C60,D60,B60,,,,,,$E$13:$E$15,$B$5,$B$6,$B$7,,,$A$24:$A$50,$C$24:$C$33,$B$4,$B$8,$B$9),1,15)</f>
      </c>
      <c r="U60" s="5">
        <f>INDEX(CEA_SHOCK_SOLVE($A$12:$D$15,C60,D60,B60,,,,,,$E$13:$E$15,$B$5,$B$6,$B$7,,,$A$24:$A$50,$C$24:$C$33,$B$4,$B$8,$B$9),1,16)</f>
      </c>
      <c r="V60" s="5">
        <f>INDEX(CEA_SHOCK_SOLVE($A$12:$D$15,C60,D60,B60,,,,,,$E$13:$E$15,$B$5,$B$6,$B$7,,,$A$24:$A$50,$C$24:$C$33,$B$4,$B$8,$B$9),1,17)</f>
      </c>
      <c r="W60" s="5">
        <f>INDEX(CEA_SHOCK_SOLVE($A$12:$D$15,C60,D60,B60,,,,,,$E$13:$E$15,$B$5,$B$6,$B$7,,,$A$24:$A$50,$C$24:$C$33,$B$4,$B$8,$B$9),1,18)</f>
      </c>
      <c r="X60" s="5">
        <f>INDEX(CEA_SHOCK_SOLVE($A$12:$D$15,C60,D60,B60,,,,,,$E$13:$E$15,$B$5,$B$6,$B$7,,,$A$24:$A$50,$C$24:$C$33,$B$4,$B$8,$B$9),1,19)</f>
      </c>
      <c r="Y60" s="5">
        <f>INDEX(CEA_SHOCK_SOLVE($A$12:$D$15,C60,D60,B60,,,,,,$E$13:$E$15,$B$5,$B$6,$B$7,,,$A$24:$A$50,$C$24:$C$33,$B$4,$B$8,$B$9),1,20)</f>
      </c>
      <c r="Z60" s="5">
        <f>INDEX(CEA_SHOCK_SOLVE($A$12:$D$15,C60,D60,B60,,,,,,$E$13:$E$15,$B$5,$B$6,$B$7,,,$A$24:$A$50,$C$24:$C$33,$B$4,$B$8,$B$9),1,21)</f>
      </c>
      <c r="AA60" s="5">
        <f>INDEX(CEA_SHOCK_SOLVE($A$12:$D$15,C60,D60,B60,,,,,,$E$13:$E$15,$B$5,$B$6,$B$7,,,$A$24:$A$50,$C$24:$C$33,$B$4,$B$8,$B$9),1,22)</f>
      </c>
      <c r="AB60" s="5">
        <f>INDEX(CEA_SHOCK_SOLVE($A$12:$D$15,C60,D60,B60,,,,,,$E$13:$E$15,$B$5,$B$6,$B$7,,,$A$24:$A$50,$C$24:$C$33,$B$4,$B$8,$B$9),1,23)</f>
      </c>
      <c r="AC60" s="5">
        <f>INDEX(CEA_SHOCK_SOLVE($A$12:$D$15,C60,D60,B60,,,,,,$E$13:$E$15,$B$5,$B$6,$B$7,,,$A$24:$A$50,$C$24:$C$33,$B$4,$B$8,$B$9),1,24)</f>
      </c>
      <c r="AD60" s="5">
        <f>INDEX(CEA_SHOCK_SOLVE($A$12:$D$15,C60,D60,B60,,,,,,$E$13:$E$15,$B$5,$B$6,$B$7,,,$A$24:$A$50,$C$24:$C$33,$B$4,$B$8,$B$9),1,25)</f>
      </c>
      <c r="AE60" s="5">
        <f>INDEX(CEA_SHOCK_SOLVE($A$12:$D$15,C60,D60,B60,,,,,,$E$13:$E$15,$B$5,$B$6,$B$7,,,$A$24:$A$50,$C$24:$C$33,$B$4,$B$8,$B$9),1,26)</f>
      </c>
      <c r="AF60" s="5">
        <f>INDEX(CEA_SHOCK_SOLVE($A$12:$D$15,C60,D60,B60,,,,,,$E$13:$E$15,$B$5,$B$6,$B$7,,,$A$24:$A$50,$C$24:$C$33,$B$4,$B$8,$B$9),1,27)</f>
      </c>
      <c r="AG60" s="5">
        <f>INDEX(CEA_SHOCK_SOLVE($A$12:$D$15,C60,D60,B60,,,,,,$E$13:$E$15,$B$5,$B$6,$B$7,,,$A$24:$A$50,$C$24:$C$33,$B$4,$B$8,$B$9),1,28)</f>
      </c>
      <c r="AH60" s="5">
        <f>INDEX(CEA_SHOCK_SOLVE($A$12:$D$15,C60,D60,B60,,,,,,$E$13:$E$15,$B$5,$B$6,$B$7,,,$A$24:$A$50,$C$24:$C$33,$B$4,$B$8,$B$9),1,29)</f>
      </c>
      <c r="AI60" s="5">
        <f>INDEX(CEA_SHOCK_SOLVE($A$12:$D$15,C60,D60,B60,,,,,,$E$13:$E$15,$B$5,$B$6,$B$7,,,$A$24:$A$50,$C$24:$C$33,$B$4,$B$8,$B$9),1,30)</f>
      </c>
      <c r="AJ60" s="5">
        <f>INDEX(CEA_SHOCK_SOLVE($A$12:$D$15,C60,D60,B60,,,,,,$E$13:$E$15,$B$5,$B$6,$B$7,,,$A$24:$A$50,$C$24:$C$33,$B$4,$B$8,$B$9),1,31)</f>
      </c>
      <c r="AK60" s="5">
        <f>INDEX(CEA_SHOCK_SOLVE($A$12:$D$15,C60,D60,B60,,,,,,$E$13:$E$15,$B$5,$B$6,$B$7,,,$A$24:$A$50,$C$24:$C$33,$B$4,$B$8,$B$9),1,32)</f>
      </c>
      <c r="AL60" s="5">
        <f>INDEX(CEA_SHOCK_SOLVE($A$12:$D$15,C60,D60,B60,,,,,,$E$13:$E$15,$B$5,$B$6,$B$7,,,$A$24:$A$50,$C$24:$C$33,$B$4,$B$8,$B$9),1,33)</f>
      </c>
      <c r="AM60" s="5">
        <f>INDEX(CEA_SHOCK_SOLVE($A$12:$D$15,C60,D60,B60,,,,,,$E$13:$E$15,$B$5,$B$6,$B$7,,,$A$24:$A$50,$C$24:$C$33,$B$4,$B$8,$B$9),1,34)</f>
      </c>
      <c r="AN60" s="5">
        <f>INDEX(CEA_SHOCK_SOLVE($A$12:$D$15,C60,D60,B60,,,,,,$E$13:$E$15,$B$5,$B$6,$B$7,,,$A$24:$A$50,$C$24:$C$33,$B$4,$B$8,$B$9),1,35)</f>
      </c>
      <c r="AO60" s="5">
        <f>INDEX(CEA_SHOCK_SOLVE($A$12:$D$15,C60,D60,B60,,,,,,$E$13:$E$15,$B$5,$B$6,$B$7,,,$A$24:$A$50,$C$24:$C$33,$B$4,$B$8,$B$9),1,36)</f>
      </c>
      <c r="AP60" s="5">
        <f>INDEX(CEA_SHOCK_SOLVE($A$12:$D$15,C60,D60,B60,,,,,,$E$13:$E$15,$B$5,$B$6,$B$7,,,$A$24:$A$50,$C$24:$C$33,$B$4,$B$8,$B$9),1,37)</f>
      </c>
      <c r="AQ60" s="5">
        <f>INDEX(CEA_SHOCK_SOLVE($A$12:$D$15,C60,D60,B60,,,,,,$E$13:$E$15,$B$5,$B$6,$B$7,,,$A$24:$A$50,$C$24:$C$33,$B$4,$B$8,$B$9),1,38)</f>
      </c>
      <c r="AR60" s="5">
        <f>INDEX(CEA_SHOCK_SOLVE($A$12:$D$15,C60,D60,B60,,,,,,$E$13:$E$15,$B$5,$B$6,$B$7,,,$A$24:$A$50,$C$24:$C$33,$B$4,$B$8,$B$9),1,39)</f>
      </c>
      <c r="AS60" s="5">
        <f>INDEX(CEA_SHOCK_SOLVE($A$12:$D$15,C60,D60,B60,,,,,,$E$13:$E$15,$B$5,$B$6,$B$7,,,$A$24:$A$50,$C$24:$C$33,$B$4,$B$8,$B$9),1,40)</f>
      </c>
      <c r="AT60" s="5">
        <f>INDEX(CEA_SHOCK_SOLVE($A$12:$D$15,C60,D60,B60,,,,,,$E$13:$E$15,$B$5,$B$6,$B$7,,,$A$24:$A$50,$C$24:$C$33,$B$4,$B$8,$B$9),1,41)</f>
      </c>
      <c r="AU60" s="5">
        <f>INDEX(CEA_SHOCK_SOLVE($A$12:$D$15,C60,D60,B60,,,,,,$E$13:$E$15,$B$5,$B$6,$B$7,,,$A$24:$A$50,$C$24:$C$33,$B$4,$B$8,$B$9),1,42)</f>
      </c>
      <c r="AV60" s="5">
        <f>INDEX(CEA_SHOCK_SOLVE($A$12:$D$15,C60,D60,B60,,,,,,$E$13:$E$15,$B$5,$B$6,$B$7,,,$A$24:$A$50,$C$24:$C$33,$B$4,$B$8,$B$9),1,43)</f>
      </c>
      <c r="AW60" s="5">
        <f>INDEX(CEA_SHOCK_SOLVE($A$12:$D$15,C60,D60,B60,,,,,,$E$13:$E$15,$B$5,$B$6,$B$7,,,$A$24:$A$50,$C$24:$C$33,$B$4,$B$8,$B$9),1,44)</f>
      </c>
      <c r="AX60" s="5">
        <f>INDEX(CEA_SHOCK_SOLVE($A$12:$D$15,C60,D60,B60,,,,,,$E$13:$E$15,$B$5,$B$6,$B$7,,,$A$24:$A$50,$C$24:$C$33,$B$4,$B$8,$B$9),1,45)</f>
      </c>
      <c r="AY60" s="5">
        <f>INDEX(CEA_SHOCK_SOLVE($A$12:$D$15,C60,D60,B60,,,,,,$E$13:$E$15,$B$5,$B$6,$B$7,,,$A$24:$A$50,$C$24:$C$33,$B$4,$B$8,$B$9),1,46)</f>
      </c>
      <c r="AZ60" s="5">
        <f>INDEX(CEA_SHOCK_SOLVE($A$12:$D$15,C60,D60,B60,,,,,,$E$13:$E$15,$B$5,$B$6,$B$7,,,$A$24:$A$50,$C$24:$C$33,$B$4,$B$8,$B$9),1,47)</f>
      </c>
      <c r="BA60" s="5">
        <f>INDEX(CEA_SHOCK_SOLVE($A$12:$D$15,C60,D60,B60,,,,,,$E$13:$E$15,$B$5,$B$6,$B$7,,,$A$24:$A$50,$C$24:$C$33,$B$4,$B$8,$B$9),1,48)</f>
      </c>
      <c r="BB60" s="5">
        <f>INDEX(CEA_SHOCK_SOLVE($A$12:$D$15,C60,D60,B60,,,,,,$E$13:$E$15,$B$5,$B$6,$B$7,,,$A$24:$A$50,$C$24:$C$33,$B$4,$B$8,$B$9),1,49)</f>
      </c>
      <c r="BC60" s="5">
        <f>INDEX(CEA_SHOCK_SOLVE($A$12:$D$15,C60,D60,B60,,,,,,$E$13:$E$15,$B$5,$B$6,$B$7,,,$A$24:$A$50,$C$24:$C$33,$B$4,$B$8,$B$9),1,50)</f>
      </c>
      <c r="BD60" s="5">
        <f>INDEX(CEA_SHOCK_SOLVE($A$12:$D$15,C60,D60,B60,,,,,,$E$13:$E$15,$B$5,$B$6,$B$7,,,$A$24:$A$50,$C$24:$C$33,$B$4,$B$8,$B$9),1,51)</f>
      </c>
      <c r="BE60" s="5">
        <f>INDEX(CEA_SHOCK_SOLVE($A$12:$D$15,C60,D60,B60,,,,,,$E$13:$E$15,$B$5,$B$6,$B$7,,,$A$24:$A$50,$C$24:$C$33,$B$4,$B$8,$B$9),1,52)</f>
      </c>
      <c r="BF60" s="5">
        <f>INDEX(CEA_SHOCK_SOLVE($A$12:$D$15,C60,D60,B60,,,,,,$E$13:$E$15,$B$5,$B$6,$B$7,,,$A$24:$A$50,$C$24:$C$33,$B$4,$B$8,$B$9),1,53)</f>
      </c>
      <c r="BG60" s="5">
        <f>INDEX(CEA_SHOCK_SOLVE($A$12:$D$15,C60,D60,B60,,,,,,$E$13:$E$15,$B$5,$B$6,$B$7,,,$A$24:$A$50,$C$24:$C$33,$B$4,$B$8,$B$9),1,54)</f>
      </c>
      <c r="BH60" s="5">
        <f>INDEX(CEA_SHOCK_SOLVE($A$12:$D$15,C60,D60,B60,,,,,,$E$13:$E$15,$B$5,$B$6,$B$7,,,$A$24:$A$50,$C$24:$C$33,$B$4,$B$8,$B$9),1,55)</f>
      </c>
      <c r="BI60" s="5">
        <f>INDEX(CEA_SHOCK_SOLVE($A$12:$D$15,C60,D60,B60,,,,,,$E$13:$E$15,$B$5,$B$6,$B$7,,,$A$24:$A$50,$C$24:$C$33,$B$4,$B$8,$B$9),1,56)</f>
      </c>
      <c r="BJ60" s="5">
        <f>INDEX(CEA_SHOCK_SOLVE($A$12:$D$15,C60,D60,B60,,,,,,$E$13:$E$15,$B$5,$B$6,$B$7,,,$A$24:$A$50,$C$24:$C$33,$B$4,$B$8,$B$9),1,57)</f>
      </c>
      <c r="BK60" s="5">
        <f>INDEX(CEA_SHOCK_SOLVE($A$12:$D$15,C60,D60,B60,,,,,,$E$13:$E$15,$B$5,$B$6,$B$7,,,$A$24:$A$50,$C$24:$C$33,$B$4,$B$8,$B$9),1,58)</f>
      </c>
      <c r="BL60" s="5">
        <f>INDEX(CEA_SHOCK_SOLVE($A$12:$D$15,C60,D60,B60,,,,,,$E$13:$E$15,$B$5,$B$6,$B$7,,,$A$24:$A$50,$C$24:$C$33,$B$4,$B$8,$B$9),1,59)</f>
      </c>
      <c r="BM60" s="5">
        <f>INDEX(CEA_SHOCK_SOLVE($A$12:$D$15,C60,D60,B60,,,,,,$E$13:$E$15,$B$5,$B$6,$B$7,,,$A$24:$A$50,$C$24:$C$33,$B$4,$B$8,$B$9),1,60)</f>
      </c>
      <c r="BN60" s="5">
        <f>INDEX(CEA_SHOCK_SOLVE($A$12:$D$15,C60,D60,B60,,,,,,$E$13:$E$15,$B$5,$B$6,$B$7,,,$A$24:$A$50,$C$24:$C$33,$B$4,$B$8,$B$9),1,61)</f>
      </c>
      <c r="BO60" s="5">
        <f>INDEX(CEA_SHOCK_SOLVE($A$12:$D$15,C60,D60,B60,,,,,,$E$13:$E$15,$B$5,$B$6,$B$7,,,$A$24:$A$50,$C$24:$C$33,$B$4,$B$8,$B$9),1,62)</f>
      </c>
      <c r="BP60" s="5">
        <f>INDEX(CEA_SHOCK_SOLVE($A$12:$D$15,C60,D60,B60,,,,,,$E$13:$E$15,$B$5,$B$6,$B$7,,,$A$24:$A$50,$C$24:$C$33,$B$4,$B$8,$B$9),1,63)</f>
      </c>
      <c r="BQ60" s="5">
        <f>INDEX(CEA_SHOCK_SOLVE($A$12:$D$15,C60,D60,B60,,,,,,$E$13:$E$15,$B$5,$B$6,$B$7,,,$A$24:$A$50,$C$24:$C$33,$B$4,$B$8,$B$9),1,64)</f>
      </c>
      <c r="BR60" s="5">
        <f>INDEX(CEA_SHOCK_SOLVE($A$12:$D$15,C60,D60,B60,,,,,,$E$13:$E$15,$B$5,$B$6,$B$7,,,$A$24:$A$50,$C$24:$C$33,$B$4,$B$8,$B$9),1,65)</f>
      </c>
      <c r="BS60" s="5">
        <f>INDEX(CEA_SHOCK_SOLVE($A$12:$D$15,C60,D60,B60,,,,,,$E$13:$E$15,$B$5,$B$6,$B$7,,,$A$24:$A$50,$C$24:$C$33,$B$4,$B$8,$B$9),1,66)</f>
      </c>
      <c r="BT60" s="5">
        <f>INDEX(CEA_SHOCK_SOLVE($A$12:$D$15,C60,D60,B60,,,,,,$E$13:$E$15,$B$5,$B$6,$B$7,,,$A$24:$A$50,$C$24:$C$33,$B$4,$B$8,$B$9),1,67)</f>
      </c>
      <c r="BU60" s="5">
        <f>INDEX(CEA_SHOCK_SOLVE($A$12:$D$15,C60,D60,B60,,,,,,$E$13:$E$15,$B$5,$B$6,$B$7,,,$A$24:$A$50,$C$24:$C$33,$B$4,$B$8,$B$9),1,68)</f>
      </c>
      <c r="BV60" s="5">
        <f>INDEX(CEA_SHOCK_SOLVE($A$12:$D$15,C60,D60,B60,,,,,,$E$13:$E$15,$B$5,$B$6,$B$7,,,$A$24:$A$50,$C$24:$C$33,$B$4,$B$8,$B$9),1,69)</f>
      </c>
      <c r="BW60" s="5">
        <f>INDEX(CEA_SHOCK_SOLVE($A$12:$D$15,C60,D60,B60,,,,,,$E$13:$E$15,$B$5,$B$6,$B$7,,,$A$24:$A$50,$C$24:$C$33,$B$4,$B$8,$B$9),1,70)</f>
      </c>
      <c r="BX60" s="5">
        <f>INDEX(CEA_SHOCK_SOLVE($A$12:$D$15,C60,D60,B60,,,,,,$E$13:$E$15,$B$5,$B$6,$B$7,,,$A$24:$A$50,$C$24:$C$33,$B$4,$B$8,$B$9),1,71)</f>
      </c>
      <c r="BY60" s="5">
        <f>INDEX(CEA_SHOCK_SOLVE($A$12:$D$15,C60,D60,B60,,,,,,$E$13:$E$15,$B$5,$B$6,$B$7,,,$A$24:$A$50,$C$24:$C$33,$B$4,$B$8,$B$9),1,72)</f>
      </c>
      <c r="BZ60" s="5">
        <f>INDEX(CEA_SHOCK_SOLVE($A$12:$D$15,C60,D60,B60,,,,,,$E$13:$E$15,$B$5,$B$6,$B$7,,,$A$24:$A$50,$C$24:$C$33,$B$4,$B$8,$B$9),1,73)</f>
      </c>
      <c r="CA60" s="5">
        <f>INDEX(CEA_SHOCK_SOLVE($A$12:$D$15,C60,D60,B60,,,,,,$E$13:$E$15,$B$5,$B$6,$B$7,,,$A$24:$A$50,$C$24:$C$33,$B$4,$B$8,$B$9),1,74)</f>
      </c>
      <c r="CB60" s="5">
        <f>INDEX(CEA_SHOCK_SOLVE($A$12:$D$15,C60,D60,B60,,,,,,$E$13:$E$15,$B$5,$B$6,$B$7,,,$A$24:$A$50,$C$24:$C$33,$B$4,$B$8,$B$9),1,75)</f>
      </c>
      <c r="CC60" s="5">
        <f>INDEX(CEA_SHOCK_SOLVE($A$12:$D$15,C60,D60,B60,,,,,,$E$13:$E$15,$B$5,$B$6,$B$7,,,$A$24:$A$50,$C$24:$C$33,$B$4,$B$8,$B$9),1,76)</f>
      </c>
      <c r="CD60" s="5">
        <f>INDEX(CEA_SHOCK_SOLVE($A$12:$D$15,C60,D60,B60,,,,,,$E$13:$E$15,$B$5,$B$6,$B$7,,,$A$24:$A$50,$C$24:$C$33,$B$4,$B$8,$B$9),1,77)</f>
      </c>
      <c r="CE60" s="5">
        <f>INDEX(CEA_SHOCK_SOLVE($A$12:$D$15,C60,D60,B60,,,,,,$E$13:$E$15,$B$5,$B$6,$B$7,,,$A$24:$A$50,$C$24:$C$33,$B$4,$B$8,$B$9),1,78)</f>
      </c>
      <c r="CF60" s="5">
        <f>INDEX(CEA_SHOCK_SOLVE($A$12:$D$15,C60,D60,B60,,,,,,$E$13:$E$15,$B$5,$B$6,$B$7,,,$A$24:$A$50,$C$24:$C$33,$B$4,$B$8,$B$9),1,79)</f>
      </c>
      <c r="CG60" s="5">
        <f>INDEX(CEA_SHOCK_SOLVE($A$12:$D$15,C60,D60,B60,,,,,,$E$13:$E$15,$B$5,$B$6,$B$7,,,$A$24:$A$50,$C$24:$C$33,$B$4,$B$8,$B$9),1,80)</f>
      </c>
      <c r="CH60" s="5">
        <f>INDEX(CEA_SHOCK_SOLVE($A$12:$D$15,C60,D60,B60,,,,,,$E$13:$E$15,$B$5,$B$6,$B$7,,,$A$24:$A$50,$C$24:$C$33,$B$4,$B$8,$B$9),1,81)</f>
      </c>
      <c r="CI60" s="5">
        <f>INDEX(CEA_SHOCK_SOLVE($A$12:$D$15,C60,D60,B60,,,,,,$E$13:$E$15,$B$5,$B$6,$B$7,,,$A$24:$A$50,$C$24:$C$33,$B$4,$B$8,$B$9),1,82)</f>
      </c>
      <c r="CJ60" s="5">
        <f>INDEX(CEA_SHOCK_SOLVE($A$12:$D$15,C60,D60,B60,,,,,,$E$13:$E$15,$B$5,$B$6,$B$7,,,$A$24:$A$50,$C$24:$C$33,$B$4,$B$8,$B$9),1,83)</f>
      </c>
      <c r="CK60" s="5">
        <f>INDEX(CEA_SHOCK_SOLVE($A$12:$D$15,C60,D60,B60,,,,,,$E$13:$E$15,$B$5,$B$6,$B$7,,,$A$24:$A$50,$C$24:$C$33,$B$4,$B$8,$B$9),1,84)</f>
      </c>
      <c r="CL60" s="5">
        <f>INDEX(CEA_SHOCK_SOLVE($A$12:$D$15,C60,D60,B60,,,,,,$E$13:$E$15,$B$5,$B$6,$B$7,,,$A$24:$A$50,$C$24:$C$33,$B$4,$B$8,$B$9),1,85)</f>
      </c>
      <c r="CM60" s="5">
        <f>INDEX(CEA_SHOCK_SOLVE($A$12:$D$15,C60,D60,B60,,,,,,$E$13:$E$15,$B$5,$B$6,$B$7,,,$A$24:$A$50,$C$24:$C$33,$B$4,$B$8,$B$9),1,86)</f>
      </c>
      <c r="CN60" s="5">
        <f>INDEX(CEA_SHOCK_SOLVE($A$12:$D$15,C60,D60,B60,,,,,,$E$13:$E$15,$B$5,$B$6,$B$7,,,$A$24:$A$50,$C$24:$C$33,$B$4,$B$8,$B$9),1,87)</f>
      </c>
      <c r="CO60" s="5">
        <f>INDEX(CEA_SHOCK_SOLVE($A$12:$D$15,C60,D60,B60,,,,,,$E$13:$E$15,$B$5,$B$6,$B$7,,,$A$24:$A$50,$C$24:$C$33,$B$4,$B$8,$B$9),1,88)</f>
      </c>
      <c r="CP60" s="5">
        <f>INDEX(CEA_SHOCK_SOLVE($A$12:$D$15,C60,D60,B60,,,,,,$E$13:$E$15,$B$5,$B$6,$B$7,,,$A$24:$A$50,$C$24:$C$33,$B$4,$B$8,$B$9),1,89)</f>
      </c>
      <c r="CQ60" s="5">
        <f>INDEX(CEA_SHOCK_SOLVE($A$12:$D$15,C60,D60,B60,,,,,,$E$13:$E$15,$B$5,$B$6,$B$7,,,$A$24:$A$50,$C$24:$C$33,$B$4,$B$8,$B$9),1,90)</f>
      </c>
      <c r="CR60" s="5">
        <f>INDEX(CEA_SHOCK_SOLVE($A$12:$D$15,C60,D60,B60,,,,,,$E$13:$E$15,$B$5,$B$6,$B$7,,,$A$24:$A$50,$C$24:$C$33,$B$4,$B$8,$B$9),1,91)</f>
      </c>
      <c r="CS60" s="5">
        <f>INDEX(CEA_SHOCK_SOLVE($A$12:$D$15,C60,D60,B60,,,,,,$E$13:$E$15,$B$5,$B$6,$B$7,,,$A$24:$A$50,$C$24:$C$33,$B$4,$B$8,$B$9),1,92)</f>
      </c>
      <c r="CT60" s="5">
        <f>INDEX(CEA_SHOCK_SOLVE($A$12:$D$15,C60,D60,B60,,,,,,$E$13:$E$15,$B$5,$B$6,$B$7,,,$A$24:$A$50,$C$24:$C$33,$B$4,$B$8,$B$9),1,93)</f>
      </c>
      <c r="CU60" s="5">
        <f>INDEX(CEA_SHOCK_SOLVE($A$12:$D$15,C60,D60,B60,,,,,,$E$13:$E$15,$B$5,$B$6,$B$7,,,$A$24:$A$50,$C$24:$C$33,$B$4,$B$8,$B$9),1,94)</f>
      </c>
      <c r="CV60" s="5">
        <f>INDEX(CEA_SHOCK_SOLVE($A$12:$D$15,C60,D60,B60,,,,,,$E$13:$E$15,$B$5,$B$6,$B$7,,,$A$24:$A$50,$C$24:$C$33,$B$4,$B$8,$B$9),1,95)</f>
      </c>
      <c r="CW60" s="5">
        <f>INDEX(CEA_SHOCK_SOLVE($A$12:$D$15,C60,D60,B60,,,,,,$E$13:$E$15,$B$5,$B$6,$B$7,,,$A$24:$A$50,$C$24:$C$33,$B$4,$B$8,$B$9),1,96)</f>
      </c>
      <c r="CX60" s="5">
        <f>INDEX(CEA_SHOCK_SOLVE($A$12:$D$15,C60,D60,B60,,,,,,$E$13:$E$15,$B$5,$B$6,$B$7,,,$A$24:$A$50,$C$24:$C$33,$B$4,$B$8,$B$9),1,97)</f>
      </c>
      <c r="CY60" s="5">
        <f>INDEX(CEA_SHOCK_SOLVE($A$12:$D$15,C60,D60,B60,,,,,,$E$13:$E$15,$B$5,$B$6,$B$7,,,$A$24:$A$50,$C$24:$C$33,$B$4,$B$8,$B$9),1,98)</f>
      </c>
      <c r="CZ60" s="5">
        <f>INDEX(CEA_SHOCK_SOLVE($A$12:$D$15,C60,D60,B60,,,,,,$E$13:$E$15,$B$5,$B$6,$B$7,,,$A$24:$A$50,$C$24:$C$33,$B$4,$B$8,$B$9),1,99)</f>
      </c>
      <c r="DA60" s="5">
        <f>INDEX(CEA_SHOCK_SOLVE($A$12:$D$15,C60,D60,B60,,,,,,$E$13:$E$15,$B$5,$B$6,$B$7,,,$A$24:$A$50,$C$24:$C$33,$B$4,$B$8,$B$9),1,100)</f>
      </c>
      <c r="DB60" s="5">
        <f>INDEX(CEA_SHOCK_SOLVE($A$12:$D$15,C60,D60,B60,,,,,,$E$13:$E$15,$B$5,$B$6,$B$7,,,$A$24:$A$50,$C$24:$C$33,$B$4,$B$8,$B$9),1,101)</f>
      </c>
      <c r="DC60" s="5">
        <f>INDEX(CEA_SHOCK_SOLVE($A$12:$D$15,C60,D60,B60,,,,,,$E$13:$E$15,$B$5,$B$6,$B$7,,,$A$24:$A$50,$C$24:$C$33,$B$4,$B$8,$B$9),1,102)</f>
      </c>
      <c r="DD60" s="5">
        <f>INDEX(CEA_SHOCK_SOLVE($A$12:$D$15,C60,D60,B60,,,,,,$E$13:$E$15,$B$5,$B$6,$B$7,,,$A$24:$A$50,$C$24:$C$33,$B$4,$B$8,$B$9),1,103)</f>
      </c>
      <c r="DE60" s="5">
        <f>INDEX(CEA_SHOCK_SOLVE($A$12:$D$15,C60,D60,B60,,,,,,$E$13:$E$15,$B$5,$B$6,$B$7,,,$A$24:$A$50,$C$24:$C$33,$B$4,$B$8,$B$9),1,104)</f>
      </c>
      <c r="DF60" s="5">
        <f>INDEX(CEA_SHOCK_SOLVE($A$12:$D$15,C60,D60,B60,,,,,,$E$13:$E$15,$B$5,$B$6,$B$7,,,$A$24:$A$50,$C$24:$C$33,$B$4,$B$8,$B$9),1,105)</f>
      </c>
      <c r="DG60" s="5">
        <f>INDEX(CEA_SHOCK_SOLVE($A$12:$D$15,C60,D60,B60,,,,,,$E$13:$E$15,$B$5,$B$6,$B$7,,,$A$24:$A$50,$C$24:$C$33,$B$4,$B$8,$B$9),1,106)</f>
      </c>
      <c r="DH60" s="5">
        <f>INDEX(CEA_SHOCK_SOLVE($A$12:$D$15,C60,D60,B60,,,,,,$E$13:$E$15,$B$5,$B$6,$B$7,,,$A$24:$A$50,$C$24:$C$33,$B$4,$B$8,$B$9),1,107)</f>
      </c>
      <c r="DI60" s="5">
        <f>INDEX(CEA_SHOCK_SOLVE($A$12:$D$15,C60,D60,B60,,,,,,$E$13:$E$15,$B$5,$B$6,$B$7,,,$A$24:$A$50,$C$24:$C$33,$B$4,$B$8,$B$9),1,108)</f>
      </c>
      <c r="DJ60" s="5">
        <f>INDEX(CEA_SHOCK_SOLVE($A$12:$D$15,C60,D60,B60,,,,,,$E$13:$E$15,$B$5,$B$6,$B$7,,,$A$24:$A$50,$C$24:$C$33,$B$4,$B$8,$B$9),1,109)</f>
      </c>
      <c r="DK60" s="5">
        <f>INDEX(CEA_SHOCK_SOLVE($A$12:$D$15,C60,D60,B60,,,,,,$E$13:$E$15,$B$5,$B$6,$B$7,,,$A$24:$A$50,$C$24:$C$33,$B$4,$B$8,$B$9),1,110)</f>
      </c>
      <c r="DL60" s="5">
        <f>INDEX(CEA_SHOCK_SOLVE($A$12:$D$15,C60,D60,B60,,,,,,$E$13:$E$15,$B$5,$B$6,$B$7,,,$A$24:$A$50,$C$24:$C$33,$B$4,$B$8,$B$9),1,111)</f>
      </c>
      <c r="DM60" s="5">
        <f>INDEX(CEA_SHOCK_SOLVE($A$12:$D$15,C60,D60,B60,,,,,,$E$13:$E$15,$B$5,$B$6,$B$7,,,$A$24:$A$50,$C$24:$C$33,$B$4,$B$8,$B$9),1,112)</f>
      </c>
      <c r="DN60" s="5">
        <f>INDEX(CEA_SHOCK_SOLVE($A$12:$D$15,C60,D60,B60,,,,,,$E$13:$E$15,$B$5,$B$6,$B$7,,,$A$24:$A$50,$C$24:$C$33,$B$4,$B$8,$B$9),1,113)</f>
      </c>
      <c r="DO60" s="5">
        <f>INDEX(CEA_SHOCK_SOLVE($A$12:$D$15,C60,D60,B60,,,,,,$E$13:$E$15,$B$5,$B$6,$B$7,,,$A$24:$A$50,$C$24:$C$33,$B$4,$B$8,$B$9),1,114)</f>
      </c>
      <c r="DP60" s="5">
        <f>INDEX(CEA_SHOCK_SOLVE($A$12:$D$15,C60,D60,B60,,,,,,$E$13:$E$15,$B$5,$B$6,$B$7,,,$A$24:$A$50,$C$24:$C$33,$B$4,$B$8,$B$9),1,115)</f>
      </c>
      <c r="DQ60" s="5">
        <f>INDEX(CEA_SHOCK_SOLVE($A$12:$D$15,C60,D60,B60,,,,,,$E$13:$E$15,$B$5,$B$6,$B$7,,,$A$24:$A$50,$C$24:$C$33,$B$4,$B$8,$B$9),1,116)</f>
      </c>
      <c r="DR60" s="5">
        <f>INDEX(CEA_SHOCK_SOLVE($A$12:$D$15,C60,D60,B60,,,,,,$E$13:$E$15,$B$5,$B$6,$B$7,,,$A$24:$A$50,$C$24:$C$33,$B$4,$B$8,$B$9),1,117)</f>
      </c>
      <c r="DS60" s="5">
        <f>INDEX(CEA_SHOCK_SOLVE($A$12:$D$15,C60,D60,B60,,,,,,$E$13:$E$15,$B$5,$B$6,$B$7,,,$A$24:$A$50,$C$24:$C$33,$B$4,$B$8,$B$9),1,118)</f>
      </c>
      <c r="DT60" s="5">
        <f>INDEX(CEA_SHOCK_SOLVE($A$12:$D$15,C60,D60,B60,,,,,,$E$13:$E$15,$B$5,$B$6,$B$7,,,$A$24:$A$50,$C$24:$C$33,$B$4,$B$8,$B$9),1,119)</f>
      </c>
      <c r="DU60" s="5">
        <f>INDEX(CEA_SHOCK_SOLVE($A$12:$D$15,C60,D60,B60,,,,,,$E$13:$E$15,$B$5,$B$6,$B$7,,,$A$24:$A$50,$C$24:$C$33,$B$4,$B$8,$B$9),1,120)</f>
      </c>
      <c r="DV60" s="5">
        <f>INDEX(CEA_SHOCK_SOLVE($A$12:$D$15,C60,D60,B60,,,,,,$E$13:$E$15,$B$5,$B$6,$B$7,,,$A$24:$A$50,$C$24:$C$33,$B$4,$B$8,$B$9),1,121)</f>
      </c>
      <c r="DW60" s="5">
        <f>INDEX(CEA_SHOCK_SOLVE($A$12:$D$15,C60,D60,B60,,,,,,$E$13:$E$15,$B$5,$B$6,$B$7,,,$A$24:$A$50,$C$24:$C$33,$B$4,$B$8,$B$9),1,122)</f>
      </c>
      <c r="DX60" s="5">
        <f>INDEX(CEA_SHOCK_SOLVE($A$12:$D$15,C60,D60,B60,,,,,,$E$13:$E$15,$B$5,$B$6,$B$7,,,$A$24:$A$50,$C$24:$C$33,$B$4,$B$8,$B$9),1,123)</f>
      </c>
      <c r="DY60" s="5">
        <f>INDEX(CEA_SHOCK_SOLVE($A$12:$D$15,C60,D60,B60,,,,,,$E$13:$E$15,$B$5,$B$6,$B$7,,,$A$24:$A$50,$C$24:$C$33,$B$4,$B$8,$B$9),1,124)</f>
      </c>
      <c r="DZ60" s="5">
        <f>INDEX(CEA_SHOCK_SOLVE($A$12:$D$15,C60,D60,B60,,,,,,$E$13:$E$15,$B$5,$B$6,$B$7,,,$A$24:$A$50,$C$24:$C$33,$B$4,$B$8,$B$9),1,125)</f>
      </c>
      <c r="EA60" s="5">
        <f>INDEX(CEA_SHOCK_SOLVE($A$12:$D$15,C60,D60,B60,,,,,,$E$13:$E$15,$B$5,$B$6,$B$7,,,$A$24:$A$50,$C$24:$C$33,$B$4,$B$8,$B$9),1,126)</f>
      </c>
      <c r="EB60" s="5">
        <f>INDEX(CEA_SHOCK_SOLVE($A$12:$D$15,C60,D60,B60,,,,,,$E$13:$E$15,$B$5,$B$6,$B$7,,,$A$24:$A$50,$C$24:$C$33,$B$4,$B$8,$B$9),1,127)</f>
      </c>
      <c r="EC60" s="5">
        <f>INDEX(CEA_SHOCK_SOLVE($A$12:$D$15,C60,D60,B60,,,,,,$E$13:$E$15,$B$5,$B$6,$B$7,,,$A$24:$A$50,$C$24:$C$33,$B$4,$B$8,$B$9),1,128)</f>
      </c>
      <c r="ED60" s="5">
        <f>INDEX(CEA_SHOCK_SOLVE($A$12:$D$15,C60,D60,B60,,,,,,$E$13:$E$15,$B$5,$B$6,$B$7,,,$A$24:$A$50,$C$24:$C$33,$B$4,$B$8,$B$9),1,129)</f>
      </c>
      <c r="EE60" s="5">
        <f>INDEX(CEA_SHOCK_SOLVE($A$12:$D$15,C60,D60,B60,,,,,,$E$13:$E$15,$B$5,$B$6,$B$7,,,$A$24:$A$50,$C$24:$C$33,$B$4,$B$8,$B$9),1,130)</f>
      </c>
      <c r="EF60" s="5">
        <f>INDEX(CEA_SHOCK_SOLVE($A$12:$D$15,C60,D60,B60,,,,,,$E$13:$E$15,$B$5,$B$6,$B$7,,,$A$24:$A$50,$C$24:$C$33,$B$4,$B$8,$B$9),1,131)</f>
      </c>
      <c r="EG60" s="5">
        <f>INDEX(CEA_SHOCK_SOLVE($A$12:$D$15,C60,D60,B60,,,,,,$E$13:$E$15,$B$5,$B$6,$B$7,,,$A$24:$A$50,$C$24:$C$33,$B$4,$B$8,$B$9),1,132)</f>
      </c>
      <c r="EH60" s="5">
        <f>INDEX(CEA_SHOCK_SOLVE($A$12:$D$15,C60,D60,B60,,,,,,$E$13:$E$15,$B$5,$B$6,$B$7,,,$A$24:$A$50,$C$24:$C$33,$B$4,$B$8,$B$9),1,133)</f>
      </c>
      <c r="EI60" s="5">
        <f>INDEX(CEA_SHOCK_SOLVE($A$12:$D$15,C60,D60,B60,,,,,,$E$13:$E$15,$B$5,$B$6,$B$7,,,$A$24:$A$50,$C$24:$C$33,$B$4,$B$8,$B$9),1,134)</f>
      </c>
      <c r="EJ60" s="5">
        <f>INDEX(CEA_SHOCK_SOLVE($A$12:$D$15,C60,D60,B60,,,,,,$E$13:$E$15,$B$5,$B$6,$B$7,,,$A$24:$A$50,$C$24:$C$33,$B$4,$B$8,$B$9),1,135)</f>
      </c>
      <c r="EK60" s="5">
        <f>INDEX(CEA_SHOCK_SOLVE($A$12:$D$15,C60,D60,B60,,,,,,$E$13:$E$15,$B$5,$B$6,$B$7,,,$A$24:$A$50,$C$24:$C$33,$B$4,$B$8,$B$9),1,136)</f>
      </c>
      <c r="EL60" s="5">
        <f>INDEX(CEA_SHOCK_SOLVE($A$12:$D$15,C60,D60,B60,,,,,,$E$13:$E$15,$B$5,$B$6,$B$7,,,$A$24:$A$50,$C$24:$C$33,$B$4,$B$8,$B$9),1,137)</f>
      </c>
      <c r="EM60" s="5">
        <f>INDEX(CEA_SHOCK_SOLVE($A$12:$D$15,C60,D60,B60,,,,,,$E$13:$E$15,$B$5,$B$6,$B$7,,,$A$24:$A$50,$C$24:$C$33,$B$4,$B$8,$B$9),1,138)</f>
      </c>
      <c r="EN60" s="5">
        <f>INDEX(CEA_SHOCK_SOLVE($A$12:$D$15,C60,D60,B60,,,,,,$E$13:$E$15,$B$5,$B$6,$B$7,,,$A$24:$A$50,$C$24:$C$33,$B$4,$B$8,$B$9),1,139)</f>
      </c>
      <c r="EO60" s="5">
        <f>INDEX(CEA_SHOCK_SOLVE($A$12:$D$15,C60,D60,B60,,,,,,$E$13:$E$15,$B$5,$B$6,$B$7,,,$A$24:$A$50,$C$24:$C$33,$B$4,$B$8,$B$9),1,140)</f>
      </c>
      <c r="EP60" s="5">
        <f>INDEX(CEA_SHOCK_SOLVE($A$12:$D$15,C60,D60,B60,,,,,,$E$13:$E$15,$B$5,$B$6,$B$7,,,$A$24:$A$50,$C$24:$C$33,$B$4,$B$8,$B$9),1,141)</f>
      </c>
      <c r="EQ60" s="5">
        <f>INDEX(CEA_SHOCK_SOLVE($A$12:$D$15,C60,D60,B60,,,,,,$E$13:$E$15,$B$5,$B$6,$B$7,,,$A$24:$A$50,$C$24:$C$33,$B$4,$B$8,$B$9),1,142)</f>
      </c>
      <c r="ER60" s="5">
        <f>INDEX(CEA_SHOCK_SOLVE($A$12:$D$15,C60,D60,B60,,,,,,$E$13:$E$15,$B$5,$B$6,$B$7,,,$A$24:$A$50,$C$24:$C$33,$B$4,$B$8,$B$9),1,143)</f>
      </c>
      <c r="ES60" s="5">
        <f>INDEX(CEA_SHOCK_SOLVE($A$12:$D$15,C60,D60,B60,,,,,,$E$13:$E$15,$B$5,$B$6,$B$7,,,$A$24:$A$50,$C$24:$C$33,$B$4,$B$8,$B$9),1,144)</f>
      </c>
    </row>
    <row r="61" spans="1:149" x14ac:dyDescent="0.2">
      <c r="A61" s="9">
        <v>5</v>
      </c>
      <c r="B61" s="4">
        <v>1350</v>
      </c>
      <c r="C61" s="5">
        <f>$B$18</f>
      </c>
      <c r="D61" s="5">
        <f>$B$20</f>
      </c>
      <c r="E61" t="inlineStr" s="6">
        <is>
          <t>$E$13:$E$15</t>
        </is>
      </c>
      <c r="F61" s="5">
        <f>INDEX(CEA_SHOCK_SOLVE($A$12:$D$15,C61,D61,B61,,,,,,$E$13:$E$15,$B$5,$B$6,$B$7,,,$A$24:$A$50,$C$24:$C$33,$B$4,$B$8,$B$9),1,1)</f>
      </c>
      <c r="G61" s="5">
        <f>INDEX(CEA_SHOCK_SOLVE($A$12:$D$15,C61,D61,B61,,,,,,$E$13:$E$15,$B$5,$B$6,$B$7,,,$A$24:$A$50,$C$24:$C$33,$B$4,$B$8,$B$9),1,2)</f>
      </c>
      <c r="H61" s="5">
        <f>INDEX(CEA_SHOCK_SOLVE($A$12:$D$15,C61,D61,B61,,,,,,$E$13:$E$15,$B$5,$B$6,$B$7,,,$A$24:$A$50,$C$24:$C$33,$B$4,$B$8,$B$9),1,3)</f>
      </c>
      <c r="I61" s="5">
        <f>INDEX(CEA_SHOCK_SOLVE($A$12:$D$15,C61,D61,B61,,,,,,$E$13:$E$15,$B$5,$B$6,$B$7,,,$A$24:$A$50,$C$24:$C$33,$B$4,$B$8,$B$9),1,4)</f>
      </c>
      <c r="J61" s="5">
        <f>INDEX(CEA_SHOCK_SOLVE($A$12:$D$15,C61,D61,B61,,,,,,$E$13:$E$15,$B$5,$B$6,$B$7,,,$A$24:$A$50,$C$24:$C$33,$B$4,$B$8,$B$9),1,5)</f>
      </c>
      <c r="K61" s="5">
        <f>INDEX(CEA_SHOCK_SOLVE($A$12:$D$15,C61,D61,B61,,,,,,$E$13:$E$15,$B$5,$B$6,$B$7,,,$A$24:$A$50,$C$24:$C$33,$B$4,$B$8,$B$9),1,6)</f>
      </c>
      <c r="L61" s="5">
        <f>INDEX(CEA_SHOCK_SOLVE($A$12:$D$15,C61,D61,B61,,,,,,$E$13:$E$15,$B$5,$B$6,$B$7,,,$A$24:$A$50,$C$24:$C$33,$B$4,$B$8,$B$9),1,7)</f>
      </c>
      <c r="M61" s="5">
        <f>INDEX(CEA_SHOCK_SOLVE($A$12:$D$15,C61,D61,B61,,,,,,$E$13:$E$15,$B$5,$B$6,$B$7,,,$A$24:$A$50,$C$24:$C$33,$B$4,$B$8,$B$9),1,8)</f>
      </c>
      <c r="N61" s="5">
        <f>INDEX(CEA_SHOCK_SOLVE($A$12:$D$15,C61,D61,B61,,,,,,$E$13:$E$15,$B$5,$B$6,$B$7,,,$A$24:$A$50,$C$24:$C$33,$B$4,$B$8,$B$9),1,9)</f>
      </c>
      <c r="O61" s="5">
        <f>INDEX(CEA_SHOCK_SOLVE($A$12:$D$15,C61,D61,B61,,,,,,$E$13:$E$15,$B$5,$B$6,$B$7,,,$A$24:$A$50,$C$24:$C$33,$B$4,$B$8,$B$9),1,10)</f>
      </c>
      <c r="P61" s="5">
        <f>INDEX(CEA_SHOCK_SOLVE($A$12:$D$15,C61,D61,B61,,,,,,$E$13:$E$15,$B$5,$B$6,$B$7,,,$A$24:$A$50,$C$24:$C$33,$B$4,$B$8,$B$9),1,11)</f>
      </c>
      <c r="Q61" s="5">
        <f>INDEX(CEA_SHOCK_SOLVE($A$12:$D$15,C61,D61,B61,,,,,,$E$13:$E$15,$B$5,$B$6,$B$7,,,$A$24:$A$50,$C$24:$C$33,$B$4,$B$8,$B$9),1,12)</f>
      </c>
      <c r="R61" s="5">
        <f>INDEX(CEA_SHOCK_SOLVE($A$12:$D$15,C61,D61,B61,,,,,,$E$13:$E$15,$B$5,$B$6,$B$7,,,$A$24:$A$50,$C$24:$C$33,$B$4,$B$8,$B$9),1,13)</f>
      </c>
      <c r="S61" s="5">
        <f>INDEX(CEA_SHOCK_SOLVE($A$12:$D$15,C61,D61,B61,,,,,,$E$13:$E$15,$B$5,$B$6,$B$7,,,$A$24:$A$50,$C$24:$C$33,$B$4,$B$8,$B$9),1,14)</f>
      </c>
      <c r="T61" s="5">
        <f>INDEX(CEA_SHOCK_SOLVE($A$12:$D$15,C61,D61,B61,,,,,,$E$13:$E$15,$B$5,$B$6,$B$7,,,$A$24:$A$50,$C$24:$C$33,$B$4,$B$8,$B$9),1,15)</f>
      </c>
      <c r="U61" s="5">
        <f>INDEX(CEA_SHOCK_SOLVE($A$12:$D$15,C61,D61,B61,,,,,,$E$13:$E$15,$B$5,$B$6,$B$7,,,$A$24:$A$50,$C$24:$C$33,$B$4,$B$8,$B$9),1,16)</f>
      </c>
      <c r="V61" s="5">
        <f>INDEX(CEA_SHOCK_SOLVE($A$12:$D$15,C61,D61,B61,,,,,,$E$13:$E$15,$B$5,$B$6,$B$7,,,$A$24:$A$50,$C$24:$C$33,$B$4,$B$8,$B$9),1,17)</f>
      </c>
      <c r="W61" s="5">
        <f>INDEX(CEA_SHOCK_SOLVE($A$12:$D$15,C61,D61,B61,,,,,,$E$13:$E$15,$B$5,$B$6,$B$7,,,$A$24:$A$50,$C$24:$C$33,$B$4,$B$8,$B$9),1,18)</f>
      </c>
      <c r="X61" s="5">
        <f>INDEX(CEA_SHOCK_SOLVE($A$12:$D$15,C61,D61,B61,,,,,,$E$13:$E$15,$B$5,$B$6,$B$7,,,$A$24:$A$50,$C$24:$C$33,$B$4,$B$8,$B$9),1,19)</f>
      </c>
      <c r="Y61" s="5">
        <f>INDEX(CEA_SHOCK_SOLVE($A$12:$D$15,C61,D61,B61,,,,,,$E$13:$E$15,$B$5,$B$6,$B$7,,,$A$24:$A$50,$C$24:$C$33,$B$4,$B$8,$B$9),1,20)</f>
      </c>
      <c r="Z61" s="5">
        <f>INDEX(CEA_SHOCK_SOLVE($A$12:$D$15,C61,D61,B61,,,,,,$E$13:$E$15,$B$5,$B$6,$B$7,,,$A$24:$A$50,$C$24:$C$33,$B$4,$B$8,$B$9),1,21)</f>
      </c>
      <c r="AA61" s="5">
        <f>INDEX(CEA_SHOCK_SOLVE($A$12:$D$15,C61,D61,B61,,,,,,$E$13:$E$15,$B$5,$B$6,$B$7,,,$A$24:$A$50,$C$24:$C$33,$B$4,$B$8,$B$9),1,22)</f>
      </c>
      <c r="AB61" s="5">
        <f>INDEX(CEA_SHOCK_SOLVE($A$12:$D$15,C61,D61,B61,,,,,,$E$13:$E$15,$B$5,$B$6,$B$7,,,$A$24:$A$50,$C$24:$C$33,$B$4,$B$8,$B$9),1,23)</f>
      </c>
      <c r="AC61" s="5">
        <f>INDEX(CEA_SHOCK_SOLVE($A$12:$D$15,C61,D61,B61,,,,,,$E$13:$E$15,$B$5,$B$6,$B$7,,,$A$24:$A$50,$C$24:$C$33,$B$4,$B$8,$B$9),1,24)</f>
      </c>
      <c r="AD61" s="5">
        <f>INDEX(CEA_SHOCK_SOLVE($A$12:$D$15,C61,D61,B61,,,,,,$E$13:$E$15,$B$5,$B$6,$B$7,,,$A$24:$A$50,$C$24:$C$33,$B$4,$B$8,$B$9),1,25)</f>
      </c>
      <c r="AE61" s="5">
        <f>INDEX(CEA_SHOCK_SOLVE($A$12:$D$15,C61,D61,B61,,,,,,$E$13:$E$15,$B$5,$B$6,$B$7,,,$A$24:$A$50,$C$24:$C$33,$B$4,$B$8,$B$9),1,26)</f>
      </c>
      <c r="AF61" s="5">
        <f>INDEX(CEA_SHOCK_SOLVE($A$12:$D$15,C61,D61,B61,,,,,,$E$13:$E$15,$B$5,$B$6,$B$7,,,$A$24:$A$50,$C$24:$C$33,$B$4,$B$8,$B$9),1,27)</f>
      </c>
      <c r="AG61" s="5">
        <f>INDEX(CEA_SHOCK_SOLVE($A$12:$D$15,C61,D61,B61,,,,,,$E$13:$E$15,$B$5,$B$6,$B$7,,,$A$24:$A$50,$C$24:$C$33,$B$4,$B$8,$B$9),1,28)</f>
      </c>
      <c r="AH61" s="5">
        <f>INDEX(CEA_SHOCK_SOLVE($A$12:$D$15,C61,D61,B61,,,,,,$E$13:$E$15,$B$5,$B$6,$B$7,,,$A$24:$A$50,$C$24:$C$33,$B$4,$B$8,$B$9),1,29)</f>
      </c>
      <c r="AI61" s="5">
        <f>INDEX(CEA_SHOCK_SOLVE($A$12:$D$15,C61,D61,B61,,,,,,$E$13:$E$15,$B$5,$B$6,$B$7,,,$A$24:$A$50,$C$24:$C$33,$B$4,$B$8,$B$9),1,30)</f>
      </c>
      <c r="AJ61" s="5">
        <f>INDEX(CEA_SHOCK_SOLVE($A$12:$D$15,C61,D61,B61,,,,,,$E$13:$E$15,$B$5,$B$6,$B$7,,,$A$24:$A$50,$C$24:$C$33,$B$4,$B$8,$B$9),1,31)</f>
      </c>
      <c r="AK61" s="5">
        <f>INDEX(CEA_SHOCK_SOLVE($A$12:$D$15,C61,D61,B61,,,,,,$E$13:$E$15,$B$5,$B$6,$B$7,,,$A$24:$A$50,$C$24:$C$33,$B$4,$B$8,$B$9),1,32)</f>
      </c>
      <c r="AL61" s="5">
        <f>INDEX(CEA_SHOCK_SOLVE($A$12:$D$15,C61,D61,B61,,,,,,$E$13:$E$15,$B$5,$B$6,$B$7,,,$A$24:$A$50,$C$24:$C$33,$B$4,$B$8,$B$9),1,33)</f>
      </c>
      <c r="AM61" s="5">
        <f>INDEX(CEA_SHOCK_SOLVE($A$12:$D$15,C61,D61,B61,,,,,,$E$13:$E$15,$B$5,$B$6,$B$7,,,$A$24:$A$50,$C$24:$C$33,$B$4,$B$8,$B$9),1,34)</f>
      </c>
      <c r="AN61" s="5">
        <f>INDEX(CEA_SHOCK_SOLVE($A$12:$D$15,C61,D61,B61,,,,,,$E$13:$E$15,$B$5,$B$6,$B$7,,,$A$24:$A$50,$C$24:$C$33,$B$4,$B$8,$B$9),1,35)</f>
      </c>
      <c r="AO61" s="5">
        <f>INDEX(CEA_SHOCK_SOLVE($A$12:$D$15,C61,D61,B61,,,,,,$E$13:$E$15,$B$5,$B$6,$B$7,,,$A$24:$A$50,$C$24:$C$33,$B$4,$B$8,$B$9),1,36)</f>
      </c>
      <c r="AP61" s="5">
        <f>INDEX(CEA_SHOCK_SOLVE($A$12:$D$15,C61,D61,B61,,,,,,$E$13:$E$15,$B$5,$B$6,$B$7,,,$A$24:$A$50,$C$24:$C$33,$B$4,$B$8,$B$9),1,37)</f>
      </c>
      <c r="AQ61" s="5">
        <f>INDEX(CEA_SHOCK_SOLVE($A$12:$D$15,C61,D61,B61,,,,,,$E$13:$E$15,$B$5,$B$6,$B$7,,,$A$24:$A$50,$C$24:$C$33,$B$4,$B$8,$B$9),1,38)</f>
      </c>
      <c r="AR61" s="5">
        <f>INDEX(CEA_SHOCK_SOLVE($A$12:$D$15,C61,D61,B61,,,,,,$E$13:$E$15,$B$5,$B$6,$B$7,,,$A$24:$A$50,$C$24:$C$33,$B$4,$B$8,$B$9),1,39)</f>
      </c>
      <c r="AS61" s="5">
        <f>INDEX(CEA_SHOCK_SOLVE($A$12:$D$15,C61,D61,B61,,,,,,$E$13:$E$15,$B$5,$B$6,$B$7,,,$A$24:$A$50,$C$24:$C$33,$B$4,$B$8,$B$9),1,40)</f>
      </c>
      <c r="AT61" s="5">
        <f>INDEX(CEA_SHOCK_SOLVE($A$12:$D$15,C61,D61,B61,,,,,,$E$13:$E$15,$B$5,$B$6,$B$7,,,$A$24:$A$50,$C$24:$C$33,$B$4,$B$8,$B$9),1,41)</f>
      </c>
      <c r="AU61" s="5">
        <f>INDEX(CEA_SHOCK_SOLVE($A$12:$D$15,C61,D61,B61,,,,,,$E$13:$E$15,$B$5,$B$6,$B$7,,,$A$24:$A$50,$C$24:$C$33,$B$4,$B$8,$B$9),1,42)</f>
      </c>
      <c r="AV61" s="5">
        <f>INDEX(CEA_SHOCK_SOLVE($A$12:$D$15,C61,D61,B61,,,,,,$E$13:$E$15,$B$5,$B$6,$B$7,,,$A$24:$A$50,$C$24:$C$33,$B$4,$B$8,$B$9),1,43)</f>
      </c>
      <c r="AW61" s="5">
        <f>INDEX(CEA_SHOCK_SOLVE($A$12:$D$15,C61,D61,B61,,,,,,$E$13:$E$15,$B$5,$B$6,$B$7,,,$A$24:$A$50,$C$24:$C$33,$B$4,$B$8,$B$9),1,44)</f>
      </c>
      <c r="AX61" s="5">
        <f>INDEX(CEA_SHOCK_SOLVE($A$12:$D$15,C61,D61,B61,,,,,,$E$13:$E$15,$B$5,$B$6,$B$7,,,$A$24:$A$50,$C$24:$C$33,$B$4,$B$8,$B$9),1,45)</f>
      </c>
      <c r="AY61" s="5">
        <f>INDEX(CEA_SHOCK_SOLVE($A$12:$D$15,C61,D61,B61,,,,,,$E$13:$E$15,$B$5,$B$6,$B$7,,,$A$24:$A$50,$C$24:$C$33,$B$4,$B$8,$B$9),1,46)</f>
      </c>
      <c r="AZ61" s="5">
        <f>INDEX(CEA_SHOCK_SOLVE($A$12:$D$15,C61,D61,B61,,,,,,$E$13:$E$15,$B$5,$B$6,$B$7,,,$A$24:$A$50,$C$24:$C$33,$B$4,$B$8,$B$9),1,47)</f>
      </c>
      <c r="BA61" s="5">
        <f>INDEX(CEA_SHOCK_SOLVE($A$12:$D$15,C61,D61,B61,,,,,,$E$13:$E$15,$B$5,$B$6,$B$7,,,$A$24:$A$50,$C$24:$C$33,$B$4,$B$8,$B$9),1,48)</f>
      </c>
      <c r="BB61" s="5">
        <f>INDEX(CEA_SHOCK_SOLVE($A$12:$D$15,C61,D61,B61,,,,,,$E$13:$E$15,$B$5,$B$6,$B$7,,,$A$24:$A$50,$C$24:$C$33,$B$4,$B$8,$B$9),1,49)</f>
      </c>
      <c r="BC61" s="5">
        <f>INDEX(CEA_SHOCK_SOLVE($A$12:$D$15,C61,D61,B61,,,,,,$E$13:$E$15,$B$5,$B$6,$B$7,,,$A$24:$A$50,$C$24:$C$33,$B$4,$B$8,$B$9),1,50)</f>
      </c>
      <c r="BD61" s="5">
        <f>INDEX(CEA_SHOCK_SOLVE($A$12:$D$15,C61,D61,B61,,,,,,$E$13:$E$15,$B$5,$B$6,$B$7,,,$A$24:$A$50,$C$24:$C$33,$B$4,$B$8,$B$9),1,51)</f>
      </c>
      <c r="BE61" s="5">
        <f>INDEX(CEA_SHOCK_SOLVE($A$12:$D$15,C61,D61,B61,,,,,,$E$13:$E$15,$B$5,$B$6,$B$7,,,$A$24:$A$50,$C$24:$C$33,$B$4,$B$8,$B$9),1,52)</f>
      </c>
      <c r="BF61" s="5">
        <f>INDEX(CEA_SHOCK_SOLVE($A$12:$D$15,C61,D61,B61,,,,,,$E$13:$E$15,$B$5,$B$6,$B$7,,,$A$24:$A$50,$C$24:$C$33,$B$4,$B$8,$B$9),1,53)</f>
      </c>
      <c r="BG61" s="5">
        <f>INDEX(CEA_SHOCK_SOLVE($A$12:$D$15,C61,D61,B61,,,,,,$E$13:$E$15,$B$5,$B$6,$B$7,,,$A$24:$A$50,$C$24:$C$33,$B$4,$B$8,$B$9),1,54)</f>
      </c>
      <c r="BH61" s="5">
        <f>INDEX(CEA_SHOCK_SOLVE($A$12:$D$15,C61,D61,B61,,,,,,$E$13:$E$15,$B$5,$B$6,$B$7,,,$A$24:$A$50,$C$24:$C$33,$B$4,$B$8,$B$9),1,55)</f>
      </c>
      <c r="BI61" s="5">
        <f>INDEX(CEA_SHOCK_SOLVE($A$12:$D$15,C61,D61,B61,,,,,,$E$13:$E$15,$B$5,$B$6,$B$7,,,$A$24:$A$50,$C$24:$C$33,$B$4,$B$8,$B$9),1,56)</f>
      </c>
      <c r="BJ61" s="5">
        <f>INDEX(CEA_SHOCK_SOLVE($A$12:$D$15,C61,D61,B61,,,,,,$E$13:$E$15,$B$5,$B$6,$B$7,,,$A$24:$A$50,$C$24:$C$33,$B$4,$B$8,$B$9),1,57)</f>
      </c>
      <c r="BK61" s="5">
        <f>INDEX(CEA_SHOCK_SOLVE($A$12:$D$15,C61,D61,B61,,,,,,$E$13:$E$15,$B$5,$B$6,$B$7,,,$A$24:$A$50,$C$24:$C$33,$B$4,$B$8,$B$9),1,58)</f>
      </c>
      <c r="BL61" s="5">
        <f>INDEX(CEA_SHOCK_SOLVE($A$12:$D$15,C61,D61,B61,,,,,,$E$13:$E$15,$B$5,$B$6,$B$7,,,$A$24:$A$50,$C$24:$C$33,$B$4,$B$8,$B$9),1,59)</f>
      </c>
      <c r="BM61" s="5">
        <f>INDEX(CEA_SHOCK_SOLVE($A$12:$D$15,C61,D61,B61,,,,,,$E$13:$E$15,$B$5,$B$6,$B$7,,,$A$24:$A$50,$C$24:$C$33,$B$4,$B$8,$B$9),1,60)</f>
      </c>
      <c r="BN61" s="5">
        <f>INDEX(CEA_SHOCK_SOLVE($A$12:$D$15,C61,D61,B61,,,,,,$E$13:$E$15,$B$5,$B$6,$B$7,,,$A$24:$A$50,$C$24:$C$33,$B$4,$B$8,$B$9),1,61)</f>
      </c>
      <c r="BO61" s="5">
        <f>INDEX(CEA_SHOCK_SOLVE($A$12:$D$15,C61,D61,B61,,,,,,$E$13:$E$15,$B$5,$B$6,$B$7,,,$A$24:$A$50,$C$24:$C$33,$B$4,$B$8,$B$9),1,62)</f>
      </c>
      <c r="BP61" s="5">
        <f>INDEX(CEA_SHOCK_SOLVE($A$12:$D$15,C61,D61,B61,,,,,,$E$13:$E$15,$B$5,$B$6,$B$7,,,$A$24:$A$50,$C$24:$C$33,$B$4,$B$8,$B$9),1,63)</f>
      </c>
      <c r="BQ61" s="5">
        <f>INDEX(CEA_SHOCK_SOLVE($A$12:$D$15,C61,D61,B61,,,,,,$E$13:$E$15,$B$5,$B$6,$B$7,,,$A$24:$A$50,$C$24:$C$33,$B$4,$B$8,$B$9),1,64)</f>
      </c>
      <c r="BR61" s="5">
        <f>INDEX(CEA_SHOCK_SOLVE($A$12:$D$15,C61,D61,B61,,,,,,$E$13:$E$15,$B$5,$B$6,$B$7,,,$A$24:$A$50,$C$24:$C$33,$B$4,$B$8,$B$9),1,65)</f>
      </c>
      <c r="BS61" s="5">
        <f>INDEX(CEA_SHOCK_SOLVE($A$12:$D$15,C61,D61,B61,,,,,,$E$13:$E$15,$B$5,$B$6,$B$7,,,$A$24:$A$50,$C$24:$C$33,$B$4,$B$8,$B$9),1,66)</f>
      </c>
      <c r="BT61" s="5">
        <f>INDEX(CEA_SHOCK_SOLVE($A$12:$D$15,C61,D61,B61,,,,,,$E$13:$E$15,$B$5,$B$6,$B$7,,,$A$24:$A$50,$C$24:$C$33,$B$4,$B$8,$B$9),1,67)</f>
      </c>
      <c r="BU61" s="5">
        <f>INDEX(CEA_SHOCK_SOLVE($A$12:$D$15,C61,D61,B61,,,,,,$E$13:$E$15,$B$5,$B$6,$B$7,,,$A$24:$A$50,$C$24:$C$33,$B$4,$B$8,$B$9),1,68)</f>
      </c>
      <c r="BV61" s="5">
        <f>INDEX(CEA_SHOCK_SOLVE($A$12:$D$15,C61,D61,B61,,,,,,$E$13:$E$15,$B$5,$B$6,$B$7,,,$A$24:$A$50,$C$24:$C$33,$B$4,$B$8,$B$9),1,69)</f>
      </c>
      <c r="BW61" s="5">
        <f>INDEX(CEA_SHOCK_SOLVE($A$12:$D$15,C61,D61,B61,,,,,,$E$13:$E$15,$B$5,$B$6,$B$7,,,$A$24:$A$50,$C$24:$C$33,$B$4,$B$8,$B$9),1,70)</f>
      </c>
      <c r="BX61" s="5">
        <f>INDEX(CEA_SHOCK_SOLVE($A$12:$D$15,C61,D61,B61,,,,,,$E$13:$E$15,$B$5,$B$6,$B$7,,,$A$24:$A$50,$C$24:$C$33,$B$4,$B$8,$B$9),1,71)</f>
      </c>
      <c r="BY61" s="5">
        <f>INDEX(CEA_SHOCK_SOLVE($A$12:$D$15,C61,D61,B61,,,,,,$E$13:$E$15,$B$5,$B$6,$B$7,,,$A$24:$A$50,$C$24:$C$33,$B$4,$B$8,$B$9),1,72)</f>
      </c>
      <c r="BZ61" s="5">
        <f>INDEX(CEA_SHOCK_SOLVE($A$12:$D$15,C61,D61,B61,,,,,,$E$13:$E$15,$B$5,$B$6,$B$7,,,$A$24:$A$50,$C$24:$C$33,$B$4,$B$8,$B$9),1,73)</f>
      </c>
      <c r="CA61" s="5">
        <f>INDEX(CEA_SHOCK_SOLVE($A$12:$D$15,C61,D61,B61,,,,,,$E$13:$E$15,$B$5,$B$6,$B$7,,,$A$24:$A$50,$C$24:$C$33,$B$4,$B$8,$B$9),1,74)</f>
      </c>
      <c r="CB61" s="5">
        <f>INDEX(CEA_SHOCK_SOLVE($A$12:$D$15,C61,D61,B61,,,,,,$E$13:$E$15,$B$5,$B$6,$B$7,,,$A$24:$A$50,$C$24:$C$33,$B$4,$B$8,$B$9),1,75)</f>
      </c>
      <c r="CC61" s="5">
        <f>INDEX(CEA_SHOCK_SOLVE($A$12:$D$15,C61,D61,B61,,,,,,$E$13:$E$15,$B$5,$B$6,$B$7,,,$A$24:$A$50,$C$24:$C$33,$B$4,$B$8,$B$9),1,76)</f>
      </c>
      <c r="CD61" s="5">
        <f>INDEX(CEA_SHOCK_SOLVE($A$12:$D$15,C61,D61,B61,,,,,,$E$13:$E$15,$B$5,$B$6,$B$7,,,$A$24:$A$50,$C$24:$C$33,$B$4,$B$8,$B$9),1,77)</f>
      </c>
      <c r="CE61" s="5">
        <f>INDEX(CEA_SHOCK_SOLVE($A$12:$D$15,C61,D61,B61,,,,,,$E$13:$E$15,$B$5,$B$6,$B$7,,,$A$24:$A$50,$C$24:$C$33,$B$4,$B$8,$B$9),1,78)</f>
      </c>
      <c r="CF61" s="5">
        <f>INDEX(CEA_SHOCK_SOLVE($A$12:$D$15,C61,D61,B61,,,,,,$E$13:$E$15,$B$5,$B$6,$B$7,,,$A$24:$A$50,$C$24:$C$33,$B$4,$B$8,$B$9),1,79)</f>
      </c>
      <c r="CG61" s="5">
        <f>INDEX(CEA_SHOCK_SOLVE($A$12:$D$15,C61,D61,B61,,,,,,$E$13:$E$15,$B$5,$B$6,$B$7,,,$A$24:$A$50,$C$24:$C$33,$B$4,$B$8,$B$9),1,80)</f>
      </c>
      <c r="CH61" s="5">
        <f>INDEX(CEA_SHOCK_SOLVE($A$12:$D$15,C61,D61,B61,,,,,,$E$13:$E$15,$B$5,$B$6,$B$7,,,$A$24:$A$50,$C$24:$C$33,$B$4,$B$8,$B$9),1,81)</f>
      </c>
      <c r="CI61" s="5">
        <f>INDEX(CEA_SHOCK_SOLVE($A$12:$D$15,C61,D61,B61,,,,,,$E$13:$E$15,$B$5,$B$6,$B$7,,,$A$24:$A$50,$C$24:$C$33,$B$4,$B$8,$B$9),1,82)</f>
      </c>
      <c r="CJ61" s="5">
        <f>INDEX(CEA_SHOCK_SOLVE($A$12:$D$15,C61,D61,B61,,,,,,$E$13:$E$15,$B$5,$B$6,$B$7,,,$A$24:$A$50,$C$24:$C$33,$B$4,$B$8,$B$9),1,83)</f>
      </c>
      <c r="CK61" s="5">
        <f>INDEX(CEA_SHOCK_SOLVE($A$12:$D$15,C61,D61,B61,,,,,,$E$13:$E$15,$B$5,$B$6,$B$7,,,$A$24:$A$50,$C$24:$C$33,$B$4,$B$8,$B$9),1,84)</f>
      </c>
      <c r="CL61" s="5">
        <f>INDEX(CEA_SHOCK_SOLVE($A$12:$D$15,C61,D61,B61,,,,,,$E$13:$E$15,$B$5,$B$6,$B$7,,,$A$24:$A$50,$C$24:$C$33,$B$4,$B$8,$B$9),1,85)</f>
      </c>
      <c r="CM61" s="5">
        <f>INDEX(CEA_SHOCK_SOLVE($A$12:$D$15,C61,D61,B61,,,,,,$E$13:$E$15,$B$5,$B$6,$B$7,,,$A$24:$A$50,$C$24:$C$33,$B$4,$B$8,$B$9),1,86)</f>
      </c>
      <c r="CN61" s="5">
        <f>INDEX(CEA_SHOCK_SOLVE($A$12:$D$15,C61,D61,B61,,,,,,$E$13:$E$15,$B$5,$B$6,$B$7,,,$A$24:$A$50,$C$24:$C$33,$B$4,$B$8,$B$9),1,87)</f>
      </c>
      <c r="CO61" s="5">
        <f>INDEX(CEA_SHOCK_SOLVE($A$12:$D$15,C61,D61,B61,,,,,,$E$13:$E$15,$B$5,$B$6,$B$7,,,$A$24:$A$50,$C$24:$C$33,$B$4,$B$8,$B$9),1,88)</f>
      </c>
      <c r="CP61" s="5">
        <f>INDEX(CEA_SHOCK_SOLVE($A$12:$D$15,C61,D61,B61,,,,,,$E$13:$E$15,$B$5,$B$6,$B$7,,,$A$24:$A$50,$C$24:$C$33,$B$4,$B$8,$B$9),1,89)</f>
      </c>
      <c r="CQ61" s="5">
        <f>INDEX(CEA_SHOCK_SOLVE($A$12:$D$15,C61,D61,B61,,,,,,$E$13:$E$15,$B$5,$B$6,$B$7,,,$A$24:$A$50,$C$24:$C$33,$B$4,$B$8,$B$9),1,90)</f>
      </c>
      <c r="CR61" s="5">
        <f>INDEX(CEA_SHOCK_SOLVE($A$12:$D$15,C61,D61,B61,,,,,,$E$13:$E$15,$B$5,$B$6,$B$7,,,$A$24:$A$50,$C$24:$C$33,$B$4,$B$8,$B$9),1,91)</f>
      </c>
      <c r="CS61" s="5">
        <f>INDEX(CEA_SHOCK_SOLVE($A$12:$D$15,C61,D61,B61,,,,,,$E$13:$E$15,$B$5,$B$6,$B$7,,,$A$24:$A$50,$C$24:$C$33,$B$4,$B$8,$B$9),1,92)</f>
      </c>
      <c r="CT61" s="5">
        <f>INDEX(CEA_SHOCK_SOLVE($A$12:$D$15,C61,D61,B61,,,,,,$E$13:$E$15,$B$5,$B$6,$B$7,,,$A$24:$A$50,$C$24:$C$33,$B$4,$B$8,$B$9),1,93)</f>
      </c>
      <c r="CU61" s="5">
        <f>INDEX(CEA_SHOCK_SOLVE($A$12:$D$15,C61,D61,B61,,,,,,$E$13:$E$15,$B$5,$B$6,$B$7,,,$A$24:$A$50,$C$24:$C$33,$B$4,$B$8,$B$9),1,94)</f>
      </c>
      <c r="CV61" s="5">
        <f>INDEX(CEA_SHOCK_SOLVE($A$12:$D$15,C61,D61,B61,,,,,,$E$13:$E$15,$B$5,$B$6,$B$7,,,$A$24:$A$50,$C$24:$C$33,$B$4,$B$8,$B$9),1,95)</f>
      </c>
      <c r="CW61" s="5">
        <f>INDEX(CEA_SHOCK_SOLVE($A$12:$D$15,C61,D61,B61,,,,,,$E$13:$E$15,$B$5,$B$6,$B$7,,,$A$24:$A$50,$C$24:$C$33,$B$4,$B$8,$B$9),1,96)</f>
      </c>
      <c r="CX61" s="5">
        <f>INDEX(CEA_SHOCK_SOLVE($A$12:$D$15,C61,D61,B61,,,,,,$E$13:$E$15,$B$5,$B$6,$B$7,,,$A$24:$A$50,$C$24:$C$33,$B$4,$B$8,$B$9),1,97)</f>
      </c>
      <c r="CY61" s="5">
        <f>INDEX(CEA_SHOCK_SOLVE($A$12:$D$15,C61,D61,B61,,,,,,$E$13:$E$15,$B$5,$B$6,$B$7,,,$A$24:$A$50,$C$24:$C$33,$B$4,$B$8,$B$9),1,98)</f>
      </c>
      <c r="CZ61" s="5">
        <f>INDEX(CEA_SHOCK_SOLVE($A$12:$D$15,C61,D61,B61,,,,,,$E$13:$E$15,$B$5,$B$6,$B$7,,,$A$24:$A$50,$C$24:$C$33,$B$4,$B$8,$B$9),1,99)</f>
      </c>
      <c r="DA61" s="5">
        <f>INDEX(CEA_SHOCK_SOLVE($A$12:$D$15,C61,D61,B61,,,,,,$E$13:$E$15,$B$5,$B$6,$B$7,,,$A$24:$A$50,$C$24:$C$33,$B$4,$B$8,$B$9),1,100)</f>
      </c>
      <c r="DB61" s="5">
        <f>INDEX(CEA_SHOCK_SOLVE($A$12:$D$15,C61,D61,B61,,,,,,$E$13:$E$15,$B$5,$B$6,$B$7,,,$A$24:$A$50,$C$24:$C$33,$B$4,$B$8,$B$9),1,101)</f>
      </c>
      <c r="DC61" s="5">
        <f>INDEX(CEA_SHOCK_SOLVE($A$12:$D$15,C61,D61,B61,,,,,,$E$13:$E$15,$B$5,$B$6,$B$7,,,$A$24:$A$50,$C$24:$C$33,$B$4,$B$8,$B$9),1,102)</f>
      </c>
      <c r="DD61" s="5">
        <f>INDEX(CEA_SHOCK_SOLVE($A$12:$D$15,C61,D61,B61,,,,,,$E$13:$E$15,$B$5,$B$6,$B$7,,,$A$24:$A$50,$C$24:$C$33,$B$4,$B$8,$B$9),1,103)</f>
      </c>
      <c r="DE61" s="5">
        <f>INDEX(CEA_SHOCK_SOLVE($A$12:$D$15,C61,D61,B61,,,,,,$E$13:$E$15,$B$5,$B$6,$B$7,,,$A$24:$A$50,$C$24:$C$33,$B$4,$B$8,$B$9),1,104)</f>
      </c>
      <c r="DF61" s="5">
        <f>INDEX(CEA_SHOCK_SOLVE($A$12:$D$15,C61,D61,B61,,,,,,$E$13:$E$15,$B$5,$B$6,$B$7,,,$A$24:$A$50,$C$24:$C$33,$B$4,$B$8,$B$9),1,105)</f>
      </c>
      <c r="DG61" s="5">
        <f>INDEX(CEA_SHOCK_SOLVE($A$12:$D$15,C61,D61,B61,,,,,,$E$13:$E$15,$B$5,$B$6,$B$7,,,$A$24:$A$50,$C$24:$C$33,$B$4,$B$8,$B$9),1,106)</f>
      </c>
      <c r="DH61" s="5">
        <f>INDEX(CEA_SHOCK_SOLVE($A$12:$D$15,C61,D61,B61,,,,,,$E$13:$E$15,$B$5,$B$6,$B$7,,,$A$24:$A$50,$C$24:$C$33,$B$4,$B$8,$B$9),1,107)</f>
      </c>
      <c r="DI61" s="5">
        <f>INDEX(CEA_SHOCK_SOLVE($A$12:$D$15,C61,D61,B61,,,,,,$E$13:$E$15,$B$5,$B$6,$B$7,,,$A$24:$A$50,$C$24:$C$33,$B$4,$B$8,$B$9),1,108)</f>
      </c>
      <c r="DJ61" s="5">
        <f>INDEX(CEA_SHOCK_SOLVE($A$12:$D$15,C61,D61,B61,,,,,,$E$13:$E$15,$B$5,$B$6,$B$7,,,$A$24:$A$50,$C$24:$C$33,$B$4,$B$8,$B$9),1,109)</f>
      </c>
      <c r="DK61" s="5">
        <f>INDEX(CEA_SHOCK_SOLVE($A$12:$D$15,C61,D61,B61,,,,,,$E$13:$E$15,$B$5,$B$6,$B$7,,,$A$24:$A$50,$C$24:$C$33,$B$4,$B$8,$B$9),1,110)</f>
      </c>
      <c r="DL61" s="5">
        <f>INDEX(CEA_SHOCK_SOLVE($A$12:$D$15,C61,D61,B61,,,,,,$E$13:$E$15,$B$5,$B$6,$B$7,,,$A$24:$A$50,$C$24:$C$33,$B$4,$B$8,$B$9),1,111)</f>
      </c>
      <c r="DM61" s="5">
        <f>INDEX(CEA_SHOCK_SOLVE($A$12:$D$15,C61,D61,B61,,,,,,$E$13:$E$15,$B$5,$B$6,$B$7,,,$A$24:$A$50,$C$24:$C$33,$B$4,$B$8,$B$9),1,112)</f>
      </c>
      <c r="DN61" s="5">
        <f>INDEX(CEA_SHOCK_SOLVE($A$12:$D$15,C61,D61,B61,,,,,,$E$13:$E$15,$B$5,$B$6,$B$7,,,$A$24:$A$50,$C$24:$C$33,$B$4,$B$8,$B$9),1,113)</f>
      </c>
      <c r="DO61" s="5">
        <f>INDEX(CEA_SHOCK_SOLVE($A$12:$D$15,C61,D61,B61,,,,,,$E$13:$E$15,$B$5,$B$6,$B$7,,,$A$24:$A$50,$C$24:$C$33,$B$4,$B$8,$B$9),1,114)</f>
      </c>
      <c r="DP61" s="5">
        <f>INDEX(CEA_SHOCK_SOLVE($A$12:$D$15,C61,D61,B61,,,,,,$E$13:$E$15,$B$5,$B$6,$B$7,,,$A$24:$A$50,$C$24:$C$33,$B$4,$B$8,$B$9),1,115)</f>
      </c>
      <c r="DQ61" s="5">
        <f>INDEX(CEA_SHOCK_SOLVE($A$12:$D$15,C61,D61,B61,,,,,,$E$13:$E$15,$B$5,$B$6,$B$7,,,$A$24:$A$50,$C$24:$C$33,$B$4,$B$8,$B$9),1,116)</f>
      </c>
      <c r="DR61" s="5">
        <f>INDEX(CEA_SHOCK_SOLVE($A$12:$D$15,C61,D61,B61,,,,,,$E$13:$E$15,$B$5,$B$6,$B$7,,,$A$24:$A$50,$C$24:$C$33,$B$4,$B$8,$B$9),1,117)</f>
      </c>
      <c r="DS61" s="5">
        <f>INDEX(CEA_SHOCK_SOLVE($A$12:$D$15,C61,D61,B61,,,,,,$E$13:$E$15,$B$5,$B$6,$B$7,,,$A$24:$A$50,$C$24:$C$33,$B$4,$B$8,$B$9),1,118)</f>
      </c>
      <c r="DT61" s="5">
        <f>INDEX(CEA_SHOCK_SOLVE($A$12:$D$15,C61,D61,B61,,,,,,$E$13:$E$15,$B$5,$B$6,$B$7,,,$A$24:$A$50,$C$24:$C$33,$B$4,$B$8,$B$9),1,119)</f>
      </c>
      <c r="DU61" s="5">
        <f>INDEX(CEA_SHOCK_SOLVE($A$12:$D$15,C61,D61,B61,,,,,,$E$13:$E$15,$B$5,$B$6,$B$7,,,$A$24:$A$50,$C$24:$C$33,$B$4,$B$8,$B$9),1,120)</f>
      </c>
      <c r="DV61" s="5">
        <f>INDEX(CEA_SHOCK_SOLVE($A$12:$D$15,C61,D61,B61,,,,,,$E$13:$E$15,$B$5,$B$6,$B$7,,,$A$24:$A$50,$C$24:$C$33,$B$4,$B$8,$B$9),1,121)</f>
      </c>
      <c r="DW61" s="5">
        <f>INDEX(CEA_SHOCK_SOLVE($A$12:$D$15,C61,D61,B61,,,,,,$E$13:$E$15,$B$5,$B$6,$B$7,,,$A$24:$A$50,$C$24:$C$33,$B$4,$B$8,$B$9),1,122)</f>
      </c>
      <c r="DX61" s="5">
        <f>INDEX(CEA_SHOCK_SOLVE($A$12:$D$15,C61,D61,B61,,,,,,$E$13:$E$15,$B$5,$B$6,$B$7,,,$A$24:$A$50,$C$24:$C$33,$B$4,$B$8,$B$9),1,123)</f>
      </c>
      <c r="DY61" s="5">
        <f>INDEX(CEA_SHOCK_SOLVE($A$12:$D$15,C61,D61,B61,,,,,,$E$13:$E$15,$B$5,$B$6,$B$7,,,$A$24:$A$50,$C$24:$C$33,$B$4,$B$8,$B$9),1,124)</f>
      </c>
      <c r="DZ61" s="5">
        <f>INDEX(CEA_SHOCK_SOLVE($A$12:$D$15,C61,D61,B61,,,,,,$E$13:$E$15,$B$5,$B$6,$B$7,,,$A$24:$A$50,$C$24:$C$33,$B$4,$B$8,$B$9),1,125)</f>
      </c>
      <c r="EA61" s="5">
        <f>INDEX(CEA_SHOCK_SOLVE($A$12:$D$15,C61,D61,B61,,,,,,$E$13:$E$15,$B$5,$B$6,$B$7,,,$A$24:$A$50,$C$24:$C$33,$B$4,$B$8,$B$9),1,126)</f>
      </c>
      <c r="EB61" s="5">
        <f>INDEX(CEA_SHOCK_SOLVE($A$12:$D$15,C61,D61,B61,,,,,,$E$13:$E$15,$B$5,$B$6,$B$7,,,$A$24:$A$50,$C$24:$C$33,$B$4,$B$8,$B$9),1,127)</f>
      </c>
      <c r="EC61" s="5">
        <f>INDEX(CEA_SHOCK_SOLVE($A$12:$D$15,C61,D61,B61,,,,,,$E$13:$E$15,$B$5,$B$6,$B$7,,,$A$24:$A$50,$C$24:$C$33,$B$4,$B$8,$B$9),1,128)</f>
      </c>
      <c r="ED61" s="5">
        <f>INDEX(CEA_SHOCK_SOLVE($A$12:$D$15,C61,D61,B61,,,,,,$E$13:$E$15,$B$5,$B$6,$B$7,,,$A$24:$A$50,$C$24:$C$33,$B$4,$B$8,$B$9),1,129)</f>
      </c>
      <c r="EE61" s="5">
        <f>INDEX(CEA_SHOCK_SOLVE($A$12:$D$15,C61,D61,B61,,,,,,$E$13:$E$15,$B$5,$B$6,$B$7,,,$A$24:$A$50,$C$24:$C$33,$B$4,$B$8,$B$9),1,130)</f>
      </c>
      <c r="EF61" s="5">
        <f>INDEX(CEA_SHOCK_SOLVE($A$12:$D$15,C61,D61,B61,,,,,,$E$13:$E$15,$B$5,$B$6,$B$7,,,$A$24:$A$50,$C$24:$C$33,$B$4,$B$8,$B$9),1,131)</f>
      </c>
      <c r="EG61" s="5">
        <f>INDEX(CEA_SHOCK_SOLVE($A$12:$D$15,C61,D61,B61,,,,,,$E$13:$E$15,$B$5,$B$6,$B$7,,,$A$24:$A$50,$C$24:$C$33,$B$4,$B$8,$B$9),1,132)</f>
      </c>
      <c r="EH61" s="5">
        <f>INDEX(CEA_SHOCK_SOLVE($A$12:$D$15,C61,D61,B61,,,,,,$E$13:$E$15,$B$5,$B$6,$B$7,,,$A$24:$A$50,$C$24:$C$33,$B$4,$B$8,$B$9),1,133)</f>
      </c>
      <c r="EI61" s="5">
        <f>INDEX(CEA_SHOCK_SOLVE($A$12:$D$15,C61,D61,B61,,,,,,$E$13:$E$15,$B$5,$B$6,$B$7,,,$A$24:$A$50,$C$24:$C$33,$B$4,$B$8,$B$9),1,134)</f>
      </c>
      <c r="EJ61" s="5">
        <f>INDEX(CEA_SHOCK_SOLVE($A$12:$D$15,C61,D61,B61,,,,,,$E$13:$E$15,$B$5,$B$6,$B$7,,,$A$24:$A$50,$C$24:$C$33,$B$4,$B$8,$B$9),1,135)</f>
      </c>
      <c r="EK61" s="5">
        <f>INDEX(CEA_SHOCK_SOLVE($A$12:$D$15,C61,D61,B61,,,,,,$E$13:$E$15,$B$5,$B$6,$B$7,,,$A$24:$A$50,$C$24:$C$33,$B$4,$B$8,$B$9),1,136)</f>
      </c>
      <c r="EL61" s="5">
        <f>INDEX(CEA_SHOCK_SOLVE($A$12:$D$15,C61,D61,B61,,,,,,$E$13:$E$15,$B$5,$B$6,$B$7,,,$A$24:$A$50,$C$24:$C$33,$B$4,$B$8,$B$9),1,137)</f>
      </c>
      <c r="EM61" s="5">
        <f>INDEX(CEA_SHOCK_SOLVE($A$12:$D$15,C61,D61,B61,,,,,,$E$13:$E$15,$B$5,$B$6,$B$7,,,$A$24:$A$50,$C$24:$C$33,$B$4,$B$8,$B$9),1,138)</f>
      </c>
      <c r="EN61" s="5">
        <f>INDEX(CEA_SHOCK_SOLVE($A$12:$D$15,C61,D61,B61,,,,,,$E$13:$E$15,$B$5,$B$6,$B$7,,,$A$24:$A$50,$C$24:$C$33,$B$4,$B$8,$B$9),1,139)</f>
      </c>
      <c r="EO61" s="5">
        <f>INDEX(CEA_SHOCK_SOLVE($A$12:$D$15,C61,D61,B61,,,,,,$E$13:$E$15,$B$5,$B$6,$B$7,,,$A$24:$A$50,$C$24:$C$33,$B$4,$B$8,$B$9),1,140)</f>
      </c>
      <c r="EP61" s="5">
        <f>INDEX(CEA_SHOCK_SOLVE($A$12:$D$15,C61,D61,B61,,,,,,$E$13:$E$15,$B$5,$B$6,$B$7,,,$A$24:$A$50,$C$24:$C$33,$B$4,$B$8,$B$9),1,141)</f>
      </c>
      <c r="EQ61" s="5">
        <f>INDEX(CEA_SHOCK_SOLVE($A$12:$D$15,C61,D61,B61,,,,,,$E$13:$E$15,$B$5,$B$6,$B$7,,,$A$24:$A$50,$C$24:$C$33,$B$4,$B$8,$B$9),1,142)</f>
      </c>
      <c r="ER61" s="5">
        <f>INDEX(CEA_SHOCK_SOLVE($A$12:$D$15,C61,D61,B61,,,,,,$E$13:$E$15,$B$5,$B$6,$B$7,,,$A$24:$A$50,$C$24:$C$33,$B$4,$B$8,$B$9),1,143)</f>
      </c>
      <c r="ES61" s="5">
        <f>INDEX(CEA_SHOCK_SOLVE($A$12:$D$15,C61,D61,B61,,,,,,$E$13:$E$15,$B$5,$B$6,$B$7,,,$A$24:$A$50,$C$24:$C$33,$B$4,$B$8,$B$9),1,144)</f>
      </c>
    </row>
    <row r="62" spans="1:149" x14ac:dyDescent="0.2">
      <c r="A62" s="9">
        <v>6</v>
      </c>
      <c r="B62" s="4">
        <v>1400</v>
      </c>
      <c r="C62" s="5">
        <f>$B$18</f>
      </c>
      <c r="D62" s="5">
        <f>$B$20</f>
      </c>
      <c r="E62" t="inlineStr" s="6">
        <is>
          <t>$E$13:$E$15</t>
        </is>
      </c>
      <c r="F62" s="5">
        <f>INDEX(CEA_SHOCK_SOLVE($A$12:$D$15,C62,D62,B62,,,,,,$E$13:$E$15,$B$5,$B$6,$B$7,,,$A$24:$A$50,$C$24:$C$33,$B$4,$B$8,$B$9),1,1)</f>
      </c>
      <c r="G62" s="5">
        <f>INDEX(CEA_SHOCK_SOLVE($A$12:$D$15,C62,D62,B62,,,,,,$E$13:$E$15,$B$5,$B$6,$B$7,,,$A$24:$A$50,$C$24:$C$33,$B$4,$B$8,$B$9),1,2)</f>
      </c>
      <c r="H62" s="5">
        <f>INDEX(CEA_SHOCK_SOLVE($A$12:$D$15,C62,D62,B62,,,,,,$E$13:$E$15,$B$5,$B$6,$B$7,,,$A$24:$A$50,$C$24:$C$33,$B$4,$B$8,$B$9),1,3)</f>
      </c>
      <c r="I62" s="5">
        <f>INDEX(CEA_SHOCK_SOLVE($A$12:$D$15,C62,D62,B62,,,,,,$E$13:$E$15,$B$5,$B$6,$B$7,,,$A$24:$A$50,$C$24:$C$33,$B$4,$B$8,$B$9),1,4)</f>
      </c>
      <c r="J62" s="5">
        <f>INDEX(CEA_SHOCK_SOLVE($A$12:$D$15,C62,D62,B62,,,,,,$E$13:$E$15,$B$5,$B$6,$B$7,,,$A$24:$A$50,$C$24:$C$33,$B$4,$B$8,$B$9),1,5)</f>
      </c>
      <c r="K62" s="5">
        <f>INDEX(CEA_SHOCK_SOLVE($A$12:$D$15,C62,D62,B62,,,,,,$E$13:$E$15,$B$5,$B$6,$B$7,,,$A$24:$A$50,$C$24:$C$33,$B$4,$B$8,$B$9),1,6)</f>
      </c>
      <c r="L62" s="5">
        <f>INDEX(CEA_SHOCK_SOLVE($A$12:$D$15,C62,D62,B62,,,,,,$E$13:$E$15,$B$5,$B$6,$B$7,,,$A$24:$A$50,$C$24:$C$33,$B$4,$B$8,$B$9),1,7)</f>
      </c>
      <c r="M62" s="5">
        <f>INDEX(CEA_SHOCK_SOLVE($A$12:$D$15,C62,D62,B62,,,,,,$E$13:$E$15,$B$5,$B$6,$B$7,,,$A$24:$A$50,$C$24:$C$33,$B$4,$B$8,$B$9),1,8)</f>
      </c>
      <c r="N62" s="5">
        <f>INDEX(CEA_SHOCK_SOLVE($A$12:$D$15,C62,D62,B62,,,,,,$E$13:$E$15,$B$5,$B$6,$B$7,,,$A$24:$A$50,$C$24:$C$33,$B$4,$B$8,$B$9),1,9)</f>
      </c>
      <c r="O62" s="5">
        <f>INDEX(CEA_SHOCK_SOLVE($A$12:$D$15,C62,D62,B62,,,,,,$E$13:$E$15,$B$5,$B$6,$B$7,,,$A$24:$A$50,$C$24:$C$33,$B$4,$B$8,$B$9),1,10)</f>
      </c>
      <c r="P62" s="5">
        <f>INDEX(CEA_SHOCK_SOLVE($A$12:$D$15,C62,D62,B62,,,,,,$E$13:$E$15,$B$5,$B$6,$B$7,,,$A$24:$A$50,$C$24:$C$33,$B$4,$B$8,$B$9),1,11)</f>
      </c>
      <c r="Q62" s="5">
        <f>INDEX(CEA_SHOCK_SOLVE($A$12:$D$15,C62,D62,B62,,,,,,$E$13:$E$15,$B$5,$B$6,$B$7,,,$A$24:$A$50,$C$24:$C$33,$B$4,$B$8,$B$9),1,12)</f>
      </c>
      <c r="R62" s="5">
        <f>INDEX(CEA_SHOCK_SOLVE($A$12:$D$15,C62,D62,B62,,,,,,$E$13:$E$15,$B$5,$B$6,$B$7,,,$A$24:$A$50,$C$24:$C$33,$B$4,$B$8,$B$9),1,13)</f>
      </c>
      <c r="S62" s="5">
        <f>INDEX(CEA_SHOCK_SOLVE($A$12:$D$15,C62,D62,B62,,,,,,$E$13:$E$15,$B$5,$B$6,$B$7,,,$A$24:$A$50,$C$24:$C$33,$B$4,$B$8,$B$9),1,14)</f>
      </c>
      <c r="T62" s="5">
        <f>INDEX(CEA_SHOCK_SOLVE($A$12:$D$15,C62,D62,B62,,,,,,$E$13:$E$15,$B$5,$B$6,$B$7,,,$A$24:$A$50,$C$24:$C$33,$B$4,$B$8,$B$9),1,15)</f>
      </c>
      <c r="U62" s="5">
        <f>INDEX(CEA_SHOCK_SOLVE($A$12:$D$15,C62,D62,B62,,,,,,$E$13:$E$15,$B$5,$B$6,$B$7,,,$A$24:$A$50,$C$24:$C$33,$B$4,$B$8,$B$9),1,16)</f>
      </c>
      <c r="V62" s="5">
        <f>INDEX(CEA_SHOCK_SOLVE($A$12:$D$15,C62,D62,B62,,,,,,$E$13:$E$15,$B$5,$B$6,$B$7,,,$A$24:$A$50,$C$24:$C$33,$B$4,$B$8,$B$9),1,17)</f>
      </c>
      <c r="W62" s="5">
        <f>INDEX(CEA_SHOCK_SOLVE($A$12:$D$15,C62,D62,B62,,,,,,$E$13:$E$15,$B$5,$B$6,$B$7,,,$A$24:$A$50,$C$24:$C$33,$B$4,$B$8,$B$9),1,18)</f>
      </c>
      <c r="X62" s="5">
        <f>INDEX(CEA_SHOCK_SOLVE($A$12:$D$15,C62,D62,B62,,,,,,$E$13:$E$15,$B$5,$B$6,$B$7,,,$A$24:$A$50,$C$24:$C$33,$B$4,$B$8,$B$9),1,19)</f>
      </c>
      <c r="Y62" s="5">
        <f>INDEX(CEA_SHOCK_SOLVE($A$12:$D$15,C62,D62,B62,,,,,,$E$13:$E$15,$B$5,$B$6,$B$7,,,$A$24:$A$50,$C$24:$C$33,$B$4,$B$8,$B$9),1,20)</f>
      </c>
      <c r="Z62" s="5">
        <f>INDEX(CEA_SHOCK_SOLVE($A$12:$D$15,C62,D62,B62,,,,,,$E$13:$E$15,$B$5,$B$6,$B$7,,,$A$24:$A$50,$C$24:$C$33,$B$4,$B$8,$B$9),1,21)</f>
      </c>
      <c r="AA62" s="5">
        <f>INDEX(CEA_SHOCK_SOLVE($A$12:$D$15,C62,D62,B62,,,,,,$E$13:$E$15,$B$5,$B$6,$B$7,,,$A$24:$A$50,$C$24:$C$33,$B$4,$B$8,$B$9),1,22)</f>
      </c>
      <c r="AB62" s="5">
        <f>INDEX(CEA_SHOCK_SOLVE($A$12:$D$15,C62,D62,B62,,,,,,$E$13:$E$15,$B$5,$B$6,$B$7,,,$A$24:$A$50,$C$24:$C$33,$B$4,$B$8,$B$9),1,23)</f>
      </c>
      <c r="AC62" s="5">
        <f>INDEX(CEA_SHOCK_SOLVE($A$12:$D$15,C62,D62,B62,,,,,,$E$13:$E$15,$B$5,$B$6,$B$7,,,$A$24:$A$50,$C$24:$C$33,$B$4,$B$8,$B$9),1,24)</f>
      </c>
      <c r="AD62" s="5">
        <f>INDEX(CEA_SHOCK_SOLVE($A$12:$D$15,C62,D62,B62,,,,,,$E$13:$E$15,$B$5,$B$6,$B$7,,,$A$24:$A$50,$C$24:$C$33,$B$4,$B$8,$B$9),1,25)</f>
      </c>
      <c r="AE62" s="5">
        <f>INDEX(CEA_SHOCK_SOLVE($A$12:$D$15,C62,D62,B62,,,,,,$E$13:$E$15,$B$5,$B$6,$B$7,,,$A$24:$A$50,$C$24:$C$33,$B$4,$B$8,$B$9),1,26)</f>
      </c>
      <c r="AF62" s="5">
        <f>INDEX(CEA_SHOCK_SOLVE($A$12:$D$15,C62,D62,B62,,,,,,$E$13:$E$15,$B$5,$B$6,$B$7,,,$A$24:$A$50,$C$24:$C$33,$B$4,$B$8,$B$9),1,27)</f>
      </c>
      <c r="AG62" s="5">
        <f>INDEX(CEA_SHOCK_SOLVE($A$12:$D$15,C62,D62,B62,,,,,,$E$13:$E$15,$B$5,$B$6,$B$7,,,$A$24:$A$50,$C$24:$C$33,$B$4,$B$8,$B$9),1,28)</f>
      </c>
      <c r="AH62" s="5">
        <f>INDEX(CEA_SHOCK_SOLVE($A$12:$D$15,C62,D62,B62,,,,,,$E$13:$E$15,$B$5,$B$6,$B$7,,,$A$24:$A$50,$C$24:$C$33,$B$4,$B$8,$B$9),1,29)</f>
      </c>
      <c r="AI62" s="5">
        <f>INDEX(CEA_SHOCK_SOLVE($A$12:$D$15,C62,D62,B62,,,,,,$E$13:$E$15,$B$5,$B$6,$B$7,,,$A$24:$A$50,$C$24:$C$33,$B$4,$B$8,$B$9),1,30)</f>
      </c>
      <c r="AJ62" s="5">
        <f>INDEX(CEA_SHOCK_SOLVE($A$12:$D$15,C62,D62,B62,,,,,,$E$13:$E$15,$B$5,$B$6,$B$7,,,$A$24:$A$50,$C$24:$C$33,$B$4,$B$8,$B$9),1,31)</f>
      </c>
      <c r="AK62" s="5">
        <f>INDEX(CEA_SHOCK_SOLVE($A$12:$D$15,C62,D62,B62,,,,,,$E$13:$E$15,$B$5,$B$6,$B$7,,,$A$24:$A$50,$C$24:$C$33,$B$4,$B$8,$B$9),1,32)</f>
      </c>
      <c r="AL62" s="5">
        <f>INDEX(CEA_SHOCK_SOLVE($A$12:$D$15,C62,D62,B62,,,,,,$E$13:$E$15,$B$5,$B$6,$B$7,,,$A$24:$A$50,$C$24:$C$33,$B$4,$B$8,$B$9),1,33)</f>
      </c>
      <c r="AM62" s="5">
        <f>INDEX(CEA_SHOCK_SOLVE($A$12:$D$15,C62,D62,B62,,,,,,$E$13:$E$15,$B$5,$B$6,$B$7,,,$A$24:$A$50,$C$24:$C$33,$B$4,$B$8,$B$9),1,34)</f>
      </c>
      <c r="AN62" s="5">
        <f>INDEX(CEA_SHOCK_SOLVE($A$12:$D$15,C62,D62,B62,,,,,,$E$13:$E$15,$B$5,$B$6,$B$7,,,$A$24:$A$50,$C$24:$C$33,$B$4,$B$8,$B$9),1,35)</f>
      </c>
      <c r="AO62" s="5">
        <f>INDEX(CEA_SHOCK_SOLVE($A$12:$D$15,C62,D62,B62,,,,,,$E$13:$E$15,$B$5,$B$6,$B$7,,,$A$24:$A$50,$C$24:$C$33,$B$4,$B$8,$B$9),1,36)</f>
      </c>
      <c r="AP62" s="5">
        <f>INDEX(CEA_SHOCK_SOLVE($A$12:$D$15,C62,D62,B62,,,,,,$E$13:$E$15,$B$5,$B$6,$B$7,,,$A$24:$A$50,$C$24:$C$33,$B$4,$B$8,$B$9),1,37)</f>
      </c>
      <c r="AQ62" s="5">
        <f>INDEX(CEA_SHOCK_SOLVE($A$12:$D$15,C62,D62,B62,,,,,,$E$13:$E$15,$B$5,$B$6,$B$7,,,$A$24:$A$50,$C$24:$C$33,$B$4,$B$8,$B$9),1,38)</f>
      </c>
      <c r="AR62" s="5">
        <f>INDEX(CEA_SHOCK_SOLVE($A$12:$D$15,C62,D62,B62,,,,,,$E$13:$E$15,$B$5,$B$6,$B$7,,,$A$24:$A$50,$C$24:$C$33,$B$4,$B$8,$B$9),1,39)</f>
      </c>
      <c r="AS62" s="5">
        <f>INDEX(CEA_SHOCK_SOLVE($A$12:$D$15,C62,D62,B62,,,,,,$E$13:$E$15,$B$5,$B$6,$B$7,,,$A$24:$A$50,$C$24:$C$33,$B$4,$B$8,$B$9),1,40)</f>
      </c>
      <c r="AT62" s="5">
        <f>INDEX(CEA_SHOCK_SOLVE($A$12:$D$15,C62,D62,B62,,,,,,$E$13:$E$15,$B$5,$B$6,$B$7,,,$A$24:$A$50,$C$24:$C$33,$B$4,$B$8,$B$9),1,41)</f>
      </c>
      <c r="AU62" s="5">
        <f>INDEX(CEA_SHOCK_SOLVE($A$12:$D$15,C62,D62,B62,,,,,,$E$13:$E$15,$B$5,$B$6,$B$7,,,$A$24:$A$50,$C$24:$C$33,$B$4,$B$8,$B$9),1,42)</f>
      </c>
      <c r="AV62" s="5">
        <f>INDEX(CEA_SHOCK_SOLVE($A$12:$D$15,C62,D62,B62,,,,,,$E$13:$E$15,$B$5,$B$6,$B$7,,,$A$24:$A$50,$C$24:$C$33,$B$4,$B$8,$B$9),1,43)</f>
      </c>
      <c r="AW62" s="5">
        <f>INDEX(CEA_SHOCK_SOLVE($A$12:$D$15,C62,D62,B62,,,,,,$E$13:$E$15,$B$5,$B$6,$B$7,,,$A$24:$A$50,$C$24:$C$33,$B$4,$B$8,$B$9),1,44)</f>
      </c>
      <c r="AX62" s="5">
        <f>INDEX(CEA_SHOCK_SOLVE($A$12:$D$15,C62,D62,B62,,,,,,$E$13:$E$15,$B$5,$B$6,$B$7,,,$A$24:$A$50,$C$24:$C$33,$B$4,$B$8,$B$9),1,45)</f>
      </c>
      <c r="AY62" s="5">
        <f>INDEX(CEA_SHOCK_SOLVE($A$12:$D$15,C62,D62,B62,,,,,,$E$13:$E$15,$B$5,$B$6,$B$7,,,$A$24:$A$50,$C$24:$C$33,$B$4,$B$8,$B$9),1,46)</f>
      </c>
      <c r="AZ62" s="5">
        <f>INDEX(CEA_SHOCK_SOLVE($A$12:$D$15,C62,D62,B62,,,,,,$E$13:$E$15,$B$5,$B$6,$B$7,,,$A$24:$A$50,$C$24:$C$33,$B$4,$B$8,$B$9),1,47)</f>
      </c>
      <c r="BA62" s="5">
        <f>INDEX(CEA_SHOCK_SOLVE($A$12:$D$15,C62,D62,B62,,,,,,$E$13:$E$15,$B$5,$B$6,$B$7,,,$A$24:$A$50,$C$24:$C$33,$B$4,$B$8,$B$9),1,48)</f>
      </c>
      <c r="BB62" s="5">
        <f>INDEX(CEA_SHOCK_SOLVE($A$12:$D$15,C62,D62,B62,,,,,,$E$13:$E$15,$B$5,$B$6,$B$7,,,$A$24:$A$50,$C$24:$C$33,$B$4,$B$8,$B$9),1,49)</f>
      </c>
      <c r="BC62" s="5">
        <f>INDEX(CEA_SHOCK_SOLVE($A$12:$D$15,C62,D62,B62,,,,,,$E$13:$E$15,$B$5,$B$6,$B$7,,,$A$24:$A$50,$C$24:$C$33,$B$4,$B$8,$B$9),1,50)</f>
      </c>
      <c r="BD62" s="5">
        <f>INDEX(CEA_SHOCK_SOLVE($A$12:$D$15,C62,D62,B62,,,,,,$E$13:$E$15,$B$5,$B$6,$B$7,,,$A$24:$A$50,$C$24:$C$33,$B$4,$B$8,$B$9),1,51)</f>
      </c>
      <c r="BE62" s="5">
        <f>INDEX(CEA_SHOCK_SOLVE($A$12:$D$15,C62,D62,B62,,,,,,$E$13:$E$15,$B$5,$B$6,$B$7,,,$A$24:$A$50,$C$24:$C$33,$B$4,$B$8,$B$9),1,52)</f>
      </c>
      <c r="BF62" s="5">
        <f>INDEX(CEA_SHOCK_SOLVE($A$12:$D$15,C62,D62,B62,,,,,,$E$13:$E$15,$B$5,$B$6,$B$7,,,$A$24:$A$50,$C$24:$C$33,$B$4,$B$8,$B$9),1,53)</f>
      </c>
      <c r="BG62" s="5">
        <f>INDEX(CEA_SHOCK_SOLVE($A$12:$D$15,C62,D62,B62,,,,,,$E$13:$E$15,$B$5,$B$6,$B$7,,,$A$24:$A$50,$C$24:$C$33,$B$4,$B$8,$B$9),1,54)</f>
      </c>
      <c r="BH62" s="5">
        <f>INDEX(CEA_SHOCK_SOLVE($A$12:$D$15,C62,D62,B62,,,,,,$E$13:$E$15,$B$5,$B$6,$B$7,,,$A$24:$A$50,$C$24:$C$33,$B$4,$B$8,$B$9),1,55)</f>
      </c>
      <c r="BI62" s="5">
        <f>INDEX(CEA_SHOCK_SOLVE($A$12:$D$15,C62,D62,B62,,,,,,$E$13:$E$15,$B$5,$B$6,$B$7,,,$A$24:$A$50,$C$24:$C$33,$B$4,$B$8,$B$9),1,56)</f>
      </c>
      <c r="BJ62" s="5">
        <f>INDEX(CEA_SHOCK_SOLVE($A$12:$D$15,C62,D62,B62,,,,,,$E$13:$E$15,$B$5,$B$6,$B$7,,,$A$24:$A$50,$C$24:$C$33,$B$4,$B$8,$B$9),1,57)</f>
      </c>
      <c r="BK62" s="5">
        <f>INDEX(CEA_SHOCK_SOLVE($A$12:$D$15,C62,D62,B62,,,,,,$E$13:$E$15,$B$5,$B$6,$B$7,,,$A$24:$A$50,$C$24:$C$33,$B$4,$B$8,$B$9),1,58)</f>
      </c>
      <c r="BL62" s="5">
        <f>INDEX(CEA_SHOCK_SOLVE($A$12:$D$15,C62,D62,B62,,,,,,$E$13:$E$15,$B$5,$B$6,$B$7,,,$A$24:$A$50,$C$24:$C$33,$B$4,$B$8,$B$9),1,59)</f>
      </c>
      <c r="BM62" s="5">
        <f>INDEX(CEA_SHOCK_SOLVE($A$12:$D$15,C62,D62,B62,,,,,,$E$13:$E$15,$B$5,$B$6,$B$7,,,$A$24:$A$50,$C$24:$C$33,$B$4,$B$8,$B$9),1,60)</f>
      </c>
      <c r="BN62" s="5">
        <f>INDEX(CEA_SHOCK_SOLVE($A$12:$D$15,C62,D62,B62,,,,,,$E$13:$E$15,$B$5,$B$6,$B$7,,,$A$24:$A$50,$C$24:$C$33,$B$4,$B$8,$B$9),1,61)</f>
      </c>
      <c r="BO62" s="5">
        <f>INDEX(CEA_SHOCK_SOLVE($A$12:$D$15,C62,D62,B62,,,,,,$E$13:$E$15,$B$5,$B$6,$B$7,,,$A$24:$A$50,$C$24:$C$33,$B$4,$B$8,$B$9),1,62)</f>
      </c>
      <c r="BP62" s="5">
        <f>INDEX(CEA_SHOCK_SOLVE($A$12:$D$15,C62,D62,B62,,,,,,$E$13:$E$15,$B$5,$B$6,$B$7,,,$A$24:$A$50,$C$24:$C$33,$B$4,$B$8,$B$9),1,63)</f>
      </c>
      <c r="BQ62" s="5">
        <f>INDEX(CEA_SHOCK_SOLVE($A$12:$D$15,C62,D62,B62,,,,,,$E$13:$E$15,$B$5,$B$6,$B$7,,,$A$24:$A$50,$C$24:$C$33,$B$4,$B$8,$B$9),1,64)</f>
      </c>
      <c r="BR62" s="5">
        <f>INDEX(CEA_SHOCK_SOLVE($A$12:$D$15,C62,D62,B62,,,,,,$E$13:$E$15,$B$5,$B$6,$B$7,,,$A$24:$A$50,$C$24:$C$33,$B$4,$B$8,$B$9),1,65)</f>
      </c>
      <c r="BS62" s="5">
        <f>INDEX(CEA_SHOCK_SOLVE($A$12:$D$15,C62,D62,B62,,,,,,$E$13:$E$15,$B$5,$B$6,$B$7,,,$A$24:$A$50,$C$24:$C$33,$B$4,$B$8,$B$9),1,66)</f>
      </c>
      <c r="BT62" s="5">
        <f>INDEX(CEA_SHOCK_SOLVE($A$12:$D$15,C62,D62,B62,,,,,,$E$13:$E$15,$B$5,$B$6,$B$7,,,$A$24:$A$50,$C$24:$C$33,$B$4,$B$8,$B$9),1,67)</f>
      </c>
      <c r="BU62" s="5">
        <f>INDEX(CEA_SHOCK_SOLVE($A$12:$D$15,C62,D62,B62,,,,,,$E$13:$E$15,$B$5,$B$6,$B$7,,,$A$24:$A$50,$C$24:$C$33,$B$4,$B$8,$B$9),1,68)</f>
      </c>
      <c r="BV62" s="5">
        <f>INDEX(CEA_SHOCK_SOLVE($A$12:$D$15,C62,D62,B62,,,,,,$E$13:$E$15,$B$5,$B$6,$B$7,,,$A$24:$A$50,$C$24:$C$33,$B$4,$B$8,$B$9),1,69)</f>
      </c>
      <c r="BW62" s="5">
        <f>INDEX(CEA_SHOCK_SOLVE($A$12:$D$15,C62,D62,B62,,,,,,$E$13:$E$15,$B$5,$B$6,$B$7,,,$A$24:$A$50,$C$24:$C$33,$B$4,$B$8,$B$9),1,70)</f>
      </c>
      <c r="BX62" s="5">
        <f>INDEX(CEA_SHOCK_SOLVE($A$12:$D$15,C62,D62,B62,,,,,,$E$13:$E$15,$B$5,$B$6,$B$7,,,$A$24:$A$50,$C$24:$C$33,$B$4,$B$8,$B$9),1,71)</f>
      </c>
      <c r="BY62" s="5">
        <f>INDEX(CEA_SHOCK_SOLVE($A$12:$D$15,C62,D62,B62,,,,,,$E$13:$E$15,$B$5,$B$6,$B$7,,,$A$24:$A$50,$C$24:$C$33,$B$4,$B$8,$B$9),1,72)</f>
      </c>
      <c r="BZ62" s="5">
        <f>INDEX(CEA_SHOCK_SOLVE($A$12:$D$15,C62,D62,B62,,,,,,$E$13:$E$15,$B$5,$B$6,$B$7,,,$A$24:$A$50,$C$24:$C$33,$B$4,$B$8,$B$9),1,73)</f>
      </c>
      <c r="CA62" s="5">
        <f>INDEX(CEA_SHOCK_SOLVE($A$12:$D$15,C62,D62,B62,,,,,,$E$13:$E$15,$B$5,$B$6,$B$7,,,$A$24:$A$50,$C$24:$C$33,$B$4,$B$8,$B$9),1,74)</f>
      </c>
      <c r="CB62" s="5">
        <f>INDEX(CEA_SHOCK_SOLVE($A$12:$D$15,C62,D62,B62,,,,,,$E$13:$E$15,$B$5,$B$6,$B$7,,,$A$24:$A$50,$C$24:$C$33,$B$4,$B$8,$B$9),1,75)</f>
      </c>
      <c r="CC62" s="5">
        <f>INDEX(CEA_SHOCK_SOLVE($A$12:$D$15,C62,D62,B62,,,,,,$E$13:$E$15,$B$5,$B$6,$B$7,,,$A$24:$A$50,$C$24:$C$33,$B$4,$B$8,$B$9),1,76)</f>
      </c>
      <c r="CD62" s="5">
        <f>INDEX(CEA_SHOCK_SOLVE($A$12:$D$15,C62,D62,B62,,,,,,$E$13:$E$15,$B$5,$B$6,$B$7,,,$A$24:$A$50,$C$24:$C$33,$B$4,$B$8,$B$9),1,77)</f>
      </c>
      <c r="CE62" s="5">
        <f>INDEX(CEA_SHOCK_SOLVE($A$12:$D$15,C62,D62,B62,,,,,,$E$13:$E$15,$B$5,$B$6,$B$7,,,$A$24:$A$50,$C$24:$C$33,$B$4,$B$8,$B$9),1,78)</f>
      </c>
      <c r="CF62" s="5">
        <f>INDEX(CEA_SHOCK_SOLVE($A$12:$D$15,C62,D62,B62,,,,,,$E$13:$E$15,$B$5,$B$6,$B$7,,,$A$24:$A$50,$C$24:$C$33,$B$4,$B$8,$B$9),1,79)</f>
      </c>
      <c r="CG62" s="5">
        <f>INDEX(CEA_SHOCK_SOLVE($A$12:$D$15,C62,D62,B62,,,,,,$E$13:$E$15,$B$5,$B$6,$B$7,,,$A$24:$A$50,$C$24:$C$33,$B$4,$B$8,$B$9),1,80)</f>
      </c>
      <c r="CH62" s="5">
        <f>INDEX(CEA_SHOCK_SOLVE($A$12:$D$15,C62,D62,B62,,,,,,$E$13:$E$15,$B$5,$B$6,$B$7,,,$A$24:$A$50,$C$24:$C$33,$B$4,$B$8,$B$9),1,81)</f>
      </c>
      <c r="CI62" s="5">
        <f>INDEX(CEA_SHOCK_SOLVE($A$12:$D$15,C62,D62,B62,,,,,,$E$13:$E$15,$B$5,$B$6,$B$7,,,$A$24:$A$50,$C$24:$C$33,$B$4,$B$8,$B$9),1,82)</f>
      </c>
      <c r="CJ62" s="5">
        <f>INDEX(CEA_SHOCK_SOLVE($A$12:$D$15,C62,D62,B62,,,,,,$E$13:$E$15,$B$5,$B$6,$B$7,,,$A$24:$A$50,$C$24:$C$33,$B$4,$B$8,$B$9),1,83)</f>
      </c>
      <c r="CK62" s="5">
        <f>INDEX(CEA_SHOCK_SOLVE($A$12:$D$15,C62,D62,B62,,,,,,$E$13:$E$15,$B$5,$B$6,$B$7,,,$A$24:$A$50,$C$24:$C$33,$B$4,$B$8,$B$9),1,84)</f>
      </c>
      <c r="CL62" s="5">
        <f>INDEX(CEA_SHOCK_SOLVE($A$12:$D$15,C62,D62,B62,,,,,,$E$13:$E$15,$B$5,$B$6,$B$7,,,$A$24:$A$50,$C$24:$C$33,$B$4,$B$8,$B$9),1,85)</f>
      </c>
      <c r="CM62" s="5">
        <f>INDEX(CEA_SHOCK_SOLVE($A$12:$D$15,C62,D62,B62,,,,,,$E$13:$E$15,$B$5,$B$6,$B$7,,,$A$24:$A$50,$C$24:$C$33,$B$4,$B$8,$B$9),1,86)</f>
      </c>
      <c r="CN62" s="5">
        <f>INDEX(CEA_SHOCK_SOLVE($A$12:$D$15,C62,D62,B62,,,,,,$E$13:$E$15,$B$5,$B$6,$B$7,,,$A$24:$A$50,$C$24:$C$33,$B$4,$B$8,$B$9),1,87)</f>
      </c>
      <c r="CO62" s="5">
        <f>INDEX(CEA_SHOCK_SOLVE($A$12:$D$15,C62,D62,B62,,,,,,$E$13:$E$15,$B$5,$B$6,$B$7,,,$A$24:$A$50,$C$24:$C$33,$B$4,$B$8,$B$9),1,88)</f>
      </c>
      <c r="CP62" s="5">
        <f>INDEX(CEA_SHOCK_SOLVE($A$12:$D$15,C62,D62,B62,,,,,,$E$13:$E$15,$B$5,$B$6,$B$7,,,$A$24:$A$50,$C$24:$C$33,$B$4,$B$8,$B$9),1,89)</f>
      </c>
      <c r="CQ62" s="5">
        <f>INDEX(CEA_SHOCK_SOLVE($A$12:$D$15,C62,D62,B62,,,,,,$E$13:$E$15,$B$5,$B$6,$B$7,,,$A$24:$A$50,$C$24:$C$33,$B$4,$B$8,$B$9),1,90)</f>
      </c>
      <c r="CR62" s="5">
        <f>INDEX(CEA_SHOCK_SOLVE($A$12:$D$15,C62,D62,B62,,,,,,$E$13:$E$15,$B$5,$B$6,$B$7,,,$A$24:$A$50,$C$24:$C$33,$B$4,$B$8,$B$9),1,91)</f>
      </c>
      <c r="CS62" s="5">
        <f>INDEX(CEA_SHOCK_SOLVE($A$12:$D$15,C62,D62,B62,,,,,,$E$13:$E$15,$B$5,$B$6,$B$7,,,$A$24:$A$50,$C$24:$C$33,$B$4,$B$8,$B$9),1,92)</f>
      </c>
      <c r="CT62" s="5">
        <f>INDEX(CEA_SHOCK_SOLVE($A$12:$D$15,C62,D62,B62,,,,,,$E$13:$E$15,$B$5,$B$6,$B$7,,,$A$24:$A$50,$C$24:$C$33,$B$4,$B$8,$B$9),1,93)</f>
      </c>
      <c r="CU62" s="5">
        <f>INDEX(CEA_SHOCK_SOLVE($A$12:$D$15,C62,D62,B62,,,,,,$E$13:$E$15,$B$5,$B$6,$B$7,,,$A$24:$A$50,$C$24:$C$33,$B$4,$B$8,$B$9),1,94)</f>
      </c>
      <c r="CV62" s="5">
        <f>INDEX(CEA_SHOCK_SOLVE($A$12:$D$15,C62,D62,B62,,,,,,$E$13:$E$15,$B$5,$B$6,$B$7,,,$A$24:$A$50,$C$24:$C$33,$B$4,$B$8,$B$9),1,95)</f>
      </c>
      <c r="CW62" s="5">
        <f>INDEX(CEA_SHOCK_SOLVE($A$12:$D$15,C62,D62,B62,,,,,,$E$13:$E$15,$B$5,$B$6,$B$7,,,$A$24:$A$50,$C$24:$C$33,$B$4,$B$8,$B$9),1,96)</f>
      </c>
      <c r="CX62" s="5">
        <f>INDEX(CEA_SHOCK_SOLVE($A$12:$D$15,C62,D62,B62,,,,,,$E$13:$E$15,$B$5,$B$6,$B$7,,,$A$24:$A$50,$C$24:$C$33,$B$4,$B$8,$B$9),1,97)</f>
      </c>
      <c r="CY62" s="5">
        <f>INDEX(CEA_SHOCK_SOLVE($A$12:$D$15,C62,D62,B62,,,,,,$E$13:$E$15,$B$5,$B$6,$B$7,,,$A$24:$A$50,$C$24:$C$33,$B$4,$B$8,$B$9),1,98)</f>
      </c>
      <c r="CZ62" s="5">
        <f>INDEX(CEA_SHOCK_SOLVE($A$12:$D$15,C62,D62,B62,,,,,,$E$13:$E$15,$B$5,$B$6,$B$7,,,$A$24:$A$50,$C$24:$C$33,$B$4,$B$8,$B$9),1,99)</f>
      </c>
      <c r="DA62" s="5">
        <f>INDEX(CEA_SHOCK_SOLVE($A$12:$D$15,C62,D62,B62,,,,,,$E$13:$E$15,$B$5,$B$6,$B$7,,,$A$24:$A$50,$C$24:$C$33,$B$4,$B$8,$B$9),1,100)</f>
      </c>
      <c r="DB62" s="5">
        <f>INDEX(CEA_SHOCK_SOLVE($A$12:$D$15,C62,D62,B62,,,,,,$E$13:$E$15,$B$5,$B$6,$B$7,,,$A$24:$A$50,$C$24:$C$33,$B$4,$B$8,$B$9),1,101)</f>
      </c>
      <c r="DC62" s="5">
        <f>INDEX(CEA_SHOCK_SOLVE($A$12:$D$15,C62,D62,B62,,,,,,$E$13:$E$15,$B$5,$B$6,$B$7,,,$A$24:$A$50,$C$24:$C$33,$B$4,$B$8,$B$9),1,102)</f>
      </c>
      <c r="DD62" s="5">
        <f>INDEX(CEA_SHOCK_SOLVE($A$12:$D$15,C62,D62,B62,,,,,,$E$13:$E$15,$B$5,$B$6,$B$7,,,$A$24:$A$50,$C$24:$C$33,$B$4,$B$8,$B$9),1,103)</f>
      </c>
      <c r="DE62" s="5">
        <f>INDEX(CEA_SHOCK_SOLVE($A$12:$D$15,C62,D62,B62,,,,,,$E$13:$E$15,$B$5,$B$6,$B$7,,,$A$24:$A$50,$C$24:$C$33,$B$4,$B$8,$B$9),1,104)</f>
      </c>
      <c r="DF62" s="5">
        <f>INDEX(CEA_SHOCK_SOLVE($A$12:$D$15,C62,D62,B62,,,,,,$E$13:$E$15,$B$5,$B$6,$B$7,,,$A$24:$A$50,$C$24:$C$33,$B$4,$B$8,$B$9),1,105)</f>
      </c>
      <c r="DG62" s="5">
        <f>INDEX(CEA_SHOCK_SOLVE($A$12:$D$15,C62,D62,B62,,,,,,$E$13:$E$15,$B$5,$B$6,$B$7,,,$A$24:$A$50,$C$24:$C$33,$B$4,$B$8,$B$9),1,106)</f>
      </c>
      <c r="DH62" s="5">
        <f>INDEX(CEA_SHOCK_SOLVE($A$12:$D$15,C62,D62,B62,,,,,,$E$13:$E$15,$B$5,$B$6,$B$7,,,$A$24:$A$50,$C$24:$C$33,$B$4,$B$8,$B$9),1,107)</f>
      </c>
      <c r="DI62" s="5">
        <f>INDEX(CEA_SHOCK_SOLVE($A$12:$D$15,C62,D62,B62,,,,,,$E$13:$E$15,$B$5,$B$6,$B$7,,,$A$24:$A$50,$C$24:$C$33,$B$4,$B$8,$B$9),1,108)</f>
      </c>
      <c r="DJ62" s="5">
        <f>INDEX(CEA_SHOCK_SOLVE($A$12:$D$15,C62,D62,B62,,,,,,$E$13:$E$15,$B$5,$B$6,$B$7,,,$A$24:$A$50,$C$24:$C$33,$B$4,$B$8,$B$9),1,109)</f>
      </c>
      <c r="DK62" s="5">
        <f>INDEX(CEA_SHOCK_SOLVE($A$12:$D$15,C62,D62,B62,,,,,,$E$13:$E$15,$B$5,$B$6,$B$7,,,$A$24:$A$50,$C$24:$C$33,$B$4,$B$8,$B$9),1,110)</f>
      </c>
      <c r="DL62" s="5">
        <f>INDEX(CEA_SHOCK_SOLVE($A$12:$D$15,C62,D62,B62,,,,,,$E$13:$E$15,$B$5,$B$6,$B$7,,,$A$24:$A$50,$C$24:$C$33,$B$4,$B$8,$B$9),1,111)</f>
      </c>
      <c r="DM62" s="5">
        <f>INDEX(CEA_SHOCK_SOLVE($A$12:$D$15,C62,D62,B62,,,,,,$E$13:$E$15,$B$5,$B$6,$B$7,,,$A$24:$A$50,$C$24:$C$33,$B$4,$B$8,$B$9),1,112)</f>
      </c>
      <c r="DN62" s="5">
        <f>INDEX(CEA_SHOCK_SOLVE($A$12:$D$15,C62,D62,B62,,,,,,$E$13:$E$15,$B$5,$B$6,$B$7,,,$A$24:$A$50,$C$24:$C$33,$B$4,$B$8,$B$9),1,113)</f>
      </c>
      <c r="DO62" s="5">
        <f>INDEX(CEA_SHOCK_SOLVE($A$12:$D$15,C62,D62,B62,,,,,,$E$13:$E$15,$B$5,$B$6,$B$7,,,$A$24:$A$50,$C$24:$C$33,$B$4,$B$8,$B$9),1,114)</f>
      </c>
      <c r="DP62" s="5">
        <f>INDEX(CEA_SHOCK_SOLVE($A$12:$D$15,C62,D62,B62,,,,,,$E$13:$E$15,$B$5,$B$6,$B$7,,,$A$24:$A$50,$C$24:$C$33,$B$4,$B$8,$B$9),1,115)</f>
      </c>
      <c r="DQ62" s="5">
        <f>INDEX(CEA_SHOCK_SOLVE($A$12:$D$15,C62,D62,B62,,,,,,$E$13:$E$15,$B$5,$B$6,$B$7,,,$A$24:$A$50,$C$24:$C$33,$B$4,$B$8,$B$9),1,116)</f>
      </c>
      <c r="DR62" s="5">
        <f>INDEX(CEA_SHOCK_SOLVE($A$12:$D$15,C62,D62,B62,,,,,,$E$13:$E$15,$B$5,$B$6,$B$7,,,$A$24:$A$50,$C$24:$C$33,$B$4,$B$8,$B$9),1,117)</f>
      </c>
      <c r="DS62" s="5">
        <f>INDEX(CEA_SHOCK_SOLVE($A$12:$D$15,C62,D62,B62,,,,,,$E$13:$E$15,$B$5,$B$6,$B$7,,,$A$24:$A$50,$C$24:$C$33,$B$4,$B$8,$B$9),1,118)</f>
      </c>
      <c r="DT62" s="5">
        <f>INDEX(CEA_SHOCK_SOLVE($A$12:$D$15,C62,D62,B62,,,,,,$E$13:$E$15,$B$5,$B$6,$B$7,,,$A$24:$A$50,$C$24:$C$33,$B$4,$B$8,$B$9),1,119)</f>
      </c>
      <c r="DU62" s="5">
        <f>INDEX(CEA_SHOCK_SOLVE($A$12:$D$15,C62,D62,B62,,,,,,$E$13:$E$15,$B$5,$B$6,$B$7,,,$A$24:$A$50,$C$24:$C$33,$B$4,$B$8,$B$9),1,120)</f>
      </c>
      <c r="DV62" s="5">
        <f>INDEX(CEA_SHOCK_SOLVE($A$12:$D$15,C62,D62,B62,,,,,,$E$13:$E$15,$B$5,$B$6,$B$7,,,$A$24:$A$50,$C$24:$C$33,$B$4,$B$8,$B$9),1,121)</f>
      </c>
      <c r="DW62" s="5">
        <f>INDEX(CEA_SHOCK_SOLVE($A$12:$D$15,C62,D62,B62,,,,,,$E$13:$E$15,$B$5,$B$6,$B$7,,,$A$24:$A$50,$C$24:$C$33,$B$4,$B$8,$B$9),1,122)</f>
      </c>
      <c r="DX62" s="5">
        <f>INDEX(CEA_SHOCK_SOLVE($A$12:$D$15,C62,D62,B62,,,,,,$E$13:$E$15,$B$5,$B$6,$B$7,,,$A$24:$A$50,$C$24:$C$33,$B$4,$B$8,$B$9),1,123)</f>
      </c>
      <c r="DY62" s="5">
        <f>INDEX(CEA_SHOCK_SOLVE($A$12:$D$15,C62,D62,B62,,,,,,$E$13:$E$15,$B$5,$B$6,$B$7,,,$A$24:$A$50,$C$24:$C$33,$B$4,$B$8,$B$9),1,124)</f>
      </c>
      <c r="DZ62" s="5">
        <f>INDEX(CEA_SHOCK_SOLVE($A$12:$D$15,C62,D62,B62,,,,,,$E$13:$E$15,$B$5,$B$6,$B$7,,,$A$24:$A$50,$C$24:$C$33,$B$4,$B$8,$B$9),1,125)</f>
      </c>
      <c r="EA62" s="5">
        <f>INDEX(CEA_SHOCK_SOLVE($A$12:$D$15,C62,D62,B62,,,,,,$E$13:$E$15,$B$5,$B$6,$B$7,,,$A$24:$A$50,$C$24:$C$33,$B$4,$B$8,$B$9),1,126)</f>
      </c>
      <c r="EB62" s="5">
        <f>INDEX(CEA_SHOCK_SOLVE($A$12:$D$15,C62,D62,B62,,,,,,$E$13:$E$15,$B$5,$B$6,$B$7,,,$A$24:$A$50,$C$24:$C$33,$B$4,$B$8,$B$9),1,127)</f>
      </c>
      <c r="EC62" s="5">
        <f>INDEX(CEA_SHOCK_SOLVE($A$12:$D$15,C62,D62,B62,,,,,,$E$13:$E$15,$B$5,$B$6,$B$7,,,$A$24:$A$50,$C$24:$C$33,$B$4,$B$8,$B$9),1,128)</f>
      </c>
      <c r="ED62" s="5">
        <f>INDEX(CEA_SHOCK_SOLVE($A$12:$D$15,C62,D62,B62,,,,,,$E$13:$E$15,$B$5,$B$6,$B$7,,,$A$24:$A$50,$C$24:$C$33,$B$4,$B$8,$B$9),1,129)</f>
      </c>
      <c r="EE62" s="5">
        <f>INDEX(CEA_SHOCK_SOLVE($A$12:$D$15,C62,D62,B62,,,,,,$E$13:$E$15,$B$5,$B$6,$B$7,,,$A$24:$A$50,$C$24:$C$33,$B$4,$B$8,$B$9),1,130)</f>
      </c>
      <c r="EF62" s="5">
        <f>INDEX(CEA_SHOCK_SOLVE($A$12:$D$15,C62,D62,B62,,,,,,$E$13:$E$15,$B$5,$B$6,$B$7,,,$A$24:$A$50,$C$24:$C$33,$B$4,$B$8,$B$9),1,131)</f>
      </c>
      <c r="EG62" s="5">
        <f>INDEX(CEA_SHOCK_SOLVE($A$12:$D$15,C62,D62,B62,,,,,,$E$13:$E$15,$B$5,$B$6,$B$7,,,$A$24:$A$50,$C$24:$C$33,$B$4,$B$8,$B$9),1,132)</f>
      </c>
      <c r="EH62" s="5">
        <f>INDEX(CEA_SHOCK_SOLVE($A$12:$D$15,C62,D62,B62,,,,,,$E$13:$E$15,$B$5,$B$6,$B$7,,,$A$24:$A$50,$C$24:$C$33,$B$4,$B$8,$B$9),1,133)</f>
      </c>
      <c r="EI62" s="5">
        <f>INDEX(CEA_SHOCK_SOLVE($A$12:$D$15,C62,D62,B62,,,,,,$E$13:$E$15,$B$5,$B$6,$B$7,,,$A$24:$A$50,$C$24:$C$33,$B$4,$B$8,$B$9),1,134)</f>
      </c>
      <c r="EJ62" s="5">
        <f>INDEX(CEA_SHOCK_SOLVE($A$12:$D$15,C62,D62,B62,,,,,,$E$13:$E$15,$B$5,$B$6,$B$7,,,$A$24:$A$50,$C$24:$C$33,$B$4,$B$8,$B$9),1,135)</f>
      </c>
      <c r="EK62" s="5">
        <f>INDEX(CEA_SHOCK_SOLVE($A$12:$D$15,C62,D62,B62,,,,,,$E$13:$E$15,$B$5,$B$6,$B$7,,,$A$24:$A$50,$C$24:$C$33,$B$4,$B$8,$B$9),1,136)</f>
      </c>
      <c r="EL62" s="5">
        <f>INDEX(CEA_SHOCK_SOLVE($A$12:$D$15,C62,D62,B62,,,,,,$E$13:$E$15,$B$5,$B$6,$B$7,,,$A$24:$A$50,$C$24:$C$33,$B$4,$B$8,$B$9),1,137)</f>
      </c>
      <c r="EM62" s="5">
        <f>INDEX(CEA_SHOCK_SOLVE($A$12:$D$15,C62,D62,B62,,,,,,$E$13:$E$15,$B$5,$B$6,$B$7,,,$A$24:$A$50,$C$24:$C$33,$B$4,$B$8,$B$9),1,138)</f>
      </c>
      <c r="EN62" s="5">
        <f>INDEX(CEA_SHOCK_SOLVE($A$12:$D$15,C62,D62,B62,,,,,,$E$13:$E$15,$B$5,$B$6,$B$7,,,$A$24:$A$50,$C$24:$C$33,$B$4,$B$8,$B$9),1,139)</f>
      </c>
      <c r="EO62" s="5">
        <f>INDEX(CEA_SHOCK_SOLVE($A$12:$D$15,C62,D62,B62,,,,,,$E$13:$E$15,$B$5,$B$6,$B$7,,,$A$24:$A$50,$C$24:$C$33,$B$4,$B$8,$B$9),1,140)</f>
      </c>
      <c r="EP62" s="5">
        <f>INDEX(CEA_SHOCK_SOLVE($A$12:$D$15,C62,D62,B62,,,,,,$E$13:$E$15,$B$5,$B$6,$B$7,,,$A$24:$A$50,$C$24:$C$33,$B$4,$B$8,$B$9),1,141)</f>
      </c>
      <c r="EQ62" s="5">
        <f>INDEX(CEA_SHOCK_SOLVE($A$12:$D$15,C62,D62,B62,,,,,,$E$13:$E$15,$B$5,$B$6,$B$7,,,$A$24:$A$50,$C$24:$C$33,$B$4,$B$8,$B$9),1,142)</f>
      </c>
      <c r="ER62" s="5">
        <f>INDEX(CEA_SHOCK_SOLVE($A$12:$D$15,C62,D62,B62,,,,,,$E$13:$E$15,$B$5,$B$6,$B$7,,,$A$24:$A$50,$C$24:$C$33,$B$4,$B$8,$B$9),1,143)</f>
      </c>
      <c r="ES62" s="5">
        <f>INDEX(CEA_SHOCK_SOLVE($A$12:$D$15,C62,D62,B62,,,,,,$E$13:$E$15,$B$5,$B$6,$B$7,,,$A$24:$A$50,$C$24:$C$33,$B$4,$B$8,$B$9),1,144)</f>
      </c>
    </row>
  </sheetData>
  <mergeCells count="4">
    <mergeCell ref="A1:H1"/>
    <mergeCell ref="E24:H24"/>
    <mergeCell ref="E25:H25"/>
    <mergeCell ref="E26:H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BF60"/>
  <sheetViews>
    <sheetView workbookViewId="0">
      <selection/>
    </sheetView>
  </sheetViews>
  <sheetFormatPr baseColWidth="10" defaultRowHeight="16" x14ac:dyDescent="0.2"/>
  <cols>
    <col min="1" max="1" width="20" customWidth="1"/>
    <col min="2" max="2" width="14" customWidth="1"/>
    <col min="3" max="3" width="14" customWidth="1"/>
    <col min="4" max="4" width="14" customWidth="1"/>
    <col min="5" max="5" width="14" customWidth="1"/>
    <col min="6" max="6" width="12" customWidth="1"/>
    <col min="7" max="7" width="12" customWidth="1"/>
    <col min="8" max="8" width="22" customWidth="1"/>
    <col min="9" max="9" width="15" customWidth="1"/>
    <col min="10" max="10" width="15" customWidth="1"/>
    <col min="11" max="11" width="15" customWidth="1"/>
    <col min="12" max="12" width="15" customWidth="1"/>
    <col min="13" max="13" width="15" customWidth="1"/>
    <col min="14" max="14" width="15" customWidth="1"/>
    <col min="15" max="15" width="15" customWidth="1"/>
    <col min="16" max="16" width="15" customWidth="1"/>
    <col min="17" max="17" width="15" customWidth="1"/>
    <col min="18" max="18" width="15" customWidth="1"/>
    <col min="19" max="19" width="15" customWidth="1"/>
    <col min="20" max="20" width="15" customWidth="1"/>
    <col min="21" max="21" width="15" customWidth="1"/>
    <col min="22" max="22" width="15" customWidth="1"/>
    <col min="23" max="23" width="15" customWidth="1"/>
    <col min="24" max="24" width="15" customWidth="1"/>
    <col min="25" max="25" width="15" customWidth="1"/>
    <col min="26" max="26" width="15" customWidth="1"/>
    <col min="27" max="27" width="15" customWidth="1"/>
    <col min="28" max="28" width="15" customWidth="1"/>
    <col min="29" max="29" width="15" customWidth="1"/>
    <col min="30" max="30" width="15" customWidth="1"/>
    <col min="31" max="31" width="15" customWidth="1"/>
    <col min="32" max="32" width="15" customWidth="1"/>
    <col min="33" max="33" width="15" customWidth="1"/>
    <col min="34" max="34" width="15" customWidth="1"/>
    <col min="35" max="35" width="15" customWidth="1"/>
    <col min="36" max="36" width="15" customWidth="1"/>
    <col min="37" max="37" width="15" customWidth="1"/>
    <col min="38" max="38" width="15" customWidth="1"/>
    <col min="39" max="39" width="15" customWidth="1"/>
    <col min="40" max="40" width="15" customWidth="1"/>
    <col min="41" max="41" width="15" customWidth="1"/>
    <col min="42" max="42" width="15" customWidth="1"/>
    <col min="43" max="43" width="15" customWidth="1"/>
    <col min="44" max="44" width="15" customWidth="1"/>
    <col min="45" max="45" width="15" customWidth="1"/>
    <col min="46" max="46" width="15" customWidth="1"/>
    <col min="47" max="47" width="15" customWidth="1"/>
    <col min="48" max="48" width="15" customWidth="1"/>
    <col min="49" max="49" width="15" customWidth="1"/>
    <col min="50" max="50" width="15" customWidth="1"/>
    <col min="51" max="51" width="15" customWidth="1"/>
    <col min="52" max="52" width="15" customWidth="1"/>
    <col min="53" max="53" width="15" customWidth="1"/>
    <col min="54" max="54" width="15" customWidth="1"/>
    <col min="55" max="55" width="15" customWidth="1"/>
    <col min="56" max="56" width="15" customWidth="1"/>
    <col min="57" max="57" width="15" customWidth="1"/>
    <col min="58" max="58" width="15" customWidth="1"/>
  </cols>
  <sheetData>
    <row r="1" spans="1:1" x14ac:dyDescent="0.2">
      <c r="A1" t="inlineStr" s="1">
        <is>
          <t>Detonation</t>
        </is>
      </c>
    </row>
    <row r="2" spans="1:2" x14ac:dyDescent="0.2">
      <c r="A2" t="inlineStr" s="3">
        <is>
          <t>problem type</t>
        </is>
      </c>
      <c r="B2" t="inlineStr" s="4">
        <is>
          <t>CJ Detonation</t>
        </is>
      </c>
    </row>
    <row r="3" spans="1:2" x14ac:dyDescent="0.2">
      <c r="A3" t="inlineStr" s="3">
        <is>
          <t>reference</t>
        </is>
      </c>
      <c r="B3" t="inlineStr" s="6">
        <is>
          <t>RP-1311 Example 6: Chapman-Jouguet detonation</t>
        </is>
      </c>
    </row>
    <row r="4" spans="1:2" x14ac:dyDescent="0.2">
      <c r="A4" t="inlineStr" s="3">
        <is>
          <t>transport</t>
        </is>
      </c>
      <c r="B4" t="b" s="4">
        <v>1</v>
      </c>
    </row>
    <row r="5" spans="1:2" x14ac:dyDescent="0.2">
      <c r="A5" t="inlineStr" s="3">
        <is>
          <t>frozen</t>
        </is>
      </c>
      <c r="B5" t="b" s="4">
        <v>0</v>
      </c>
    </row>
    <row r="6" spans="1:2" x14ac:dyDescent="0.2">
      <c r="A6" t="inlineStr" s="3">
        <is>
          <t>ions</t>
        </is>
      </c>
      <c r="B6" t="b" s="4">
        <v>0</v>
      </c>
    </row>
    <row r="7" spans="1:2" x14ac:dyDescent="0.2">
      <c r="A7" t="inlineStr" s="3">
        <is>
          <t>include_headers</t>
        </is>
      </c>
      <c r="B7" t="b" s="4">
        <v>0</v>
      </c>
    </row>
    <row r="9" spans="1:1" x14ac:dyDescent="0.2">
      <c r="A9" t="inlineStr" s="2">
        <is>
          <t>Reactants</t>
        </is>
      </c>
    </row>
    <row r="10" spans="1:5" x14ac:dyDescent="0.2">
      <c r="A10" t="inlineStr" s="3">
        <is>
          <t>name</t>
        </is>
      </c>
      <c r="B10" t="inlineStr" s="3">
        <is>
          <t>role</t>
        </is>
      </c>
      <c r="C10" t="inlineStr" s="3">
        <is>
          <t>base_amount</t>
        </is>
      </c>
      <c r="D10" t="inlineStr" s="3">
        <is>
          <t>basis</t>
        </is>
      </c>
      <c r="E10" t="inlineStr" s="3">
        <is>
          <t>base weight</t>
        </is>
      </c>
    </row>
    <row r="11" spans="1:5" x14ac:dyDescent="0.2">
      <c r="A11" t="inlineStr" s="4">
        <is>
          <t>H2</t>
        </is>
      </c>
      <c r="B11" t="inlineStr" s="4">
        <is>
          <t>fuel</t>
        </is>
      </c>
      <c r="C11" s="4">
        <v>1.0</v>
      </c>
      <c r="D11" t="inlineStr" s="4">
        <is>
          <t>weight</t>
        </is>
      </c>
      <c r="E11" s="5">
        <f>INDEX(CEA_WEIGHTS_FROM_OF($A$10:$D$12,$B$16),1,1)</f>
      </c>
    </row>
    <row r="12" spans="1:5" x14ac:dyDescent="0.2">
      <c r="A12" t="inlineStr" s="4">
        <is>
          <t>O2</t>
        </is>
      </c>
      <c r="B12" t="inlineStr" s="4">
        <is>
          <t>oxidizer</t>
        </is>
      </c>
      <c r="C12" s="4">
        <v>1.0</v>
      </c>
      <c r="D12" t="inlineStr" s="4">
        <is>
          <t>weight</t>
        </is>
      </c>
      <c r="E12" s="5">
        <f>INDEX(CEA_WEIGHTS_FROM_OF($A$10:$D$12,$B$16),1,2)</f>
      </c>
    </row>
    <row r="14" spans="1:1" x14ac:dyDescent="0.2">
      <c r="A14" t="inlineStr" s="2">
        <is>
          <t>Mixture controls</t>
        </is>
      </c>
    </row>
    <row r="15" spans="1:2" x14ac:dyDescent="0.2">
      <c r="A15" t="inlineStr" s="3">
        <is>
          <t>r_eq</t>
        </is>
      </c>
      <c r="B15" s="4">
        <v>1.0</v>
      </c>
    </row>
    <row r="16" spans="1:2" x14ac:dyDescent="0.2">
      <c r="A16" t="inlineStr" s="3">
        <is>
          <t>of_ratio</t>
        </is>
      </c>
      <c r="B16" s="5">
        <f>CEA_OF_FROM_EQUIVALENCE($A$10:$D$12,$B$15)</f>
      </c>
    </row>
    <row r="19" spans="1:5" x14ac:dyDescent="0.2">
      <c r="A19" t="inlineStr" s="2">
        <is>
          <t>Requested properties</t>
        </is>
      </c>
      <c r="C19" t="inlineStr" s="2">
        <is>
          <t>Optional species</t>
        </is>
      </c>
      <c r="E19" t="inlineStr" s="2">
        <is>
          <t>Notes</t>
        </is>
      </c>
    </row>
    <row r="20" spans="1:5" x14ac:dyDescent="0.2">
      <c r="A20" t="inlineStr" s="4">
        <is>
          <t>P1</t>
        </is>
      </c>
      <c r="C20" t="inlineStr" s="4">
        <is>
          <t>H2</t>
        </is>
      </c>
      <c r="E20" t="inlineStr" s="6">
        <is>
          <t>Rows implement the 2 T1 x 2 p1 Example 6 grid with transport enabled.</t>
        </is>
      </c>
    </row>
    <row r="21" spans="1:5" x14ac:dyDescent="0.2">
      <c r="A21" t="inlineStr" s="4">
        <is>
          <t>T1</t>
        </is>
      </c>
      <c r="C21" t="inlineStr" s="4">
        <is>
          <t>O2</t>
        </is>
      </c>
      <c r="E21" t="inlineStr" s="6">
        <is>
          <t>The O/F helper is driven by the global equivalence ratio so the mixture remains easy to sweep.</t>
        </is>
      </c>
    </row>
    <row r="22" spans="1:5" x14ac:dyDescent="0.2">
      <c r="A22" t="inlineStr" s="4">
        <is>
          <t>H1</t>
        </is>
      </c>
      <c r="C22" t="inlineStr" s="4">
        <is>
          <t>H</t>
        </is>
      </c>
      <c r="E22" t="inlineStr" s="6">
        <is>
          <t>Output spills horizontally from the status column when opened in supported 64-bit Windows Excel.</t>
        </is>
      </c>
    </row>
    <row r="23" spans="1:3" x14ac:dyDescent="0.2">
      <c r="A23" t="inlineStr" s="4">
        <is>
          <t>M1</t>
        </is>
      </c>
      <c r="C23" t="inlineStr" s="4">
        <is>
          <t>O</t>
        </is>
      </c>
    </row>
    <row r="24" spans="1:3" x14ac:dyDescent="0.2">
      <c r="A24" t="inlineStr" s="4">
        <is>
          <t>gamma1</t>
        </is>
      </c>
      <c r="C24" t="inlineStr" s="4">
        <is>
          <t>OH</t>
        </is>
      </c>
    </row>
    <row r="25" spans="1:3" x14ac:dyDescent="0.2">
      <c r="A25" t="inlineStr" s="4">
        <is>
          <t>sonic_velocity1</t>
        </is>
      </c>
      <c r="C25" t="inlineStr" s="4">
        <is>
          <t>H2O</t>
        </is>
      </c>
    </row>
    <row r="26" spans="1:3" x14ac:dyDescent="0.2">
      <c r="A26" t="inlineStr" s="4">
        <is>
          <t>P</t>
        </is>
      </c>
      <c r="C26" t="inlineStr" s="4">
        <is>
          <t>HO2</t>
        </is>
      </c>
    </row>
    <row r="27" spans="1:3" x14ac:dyDescent="0.2">
      <c r="A27" t="inlineStr" s="4">
        <is>
          <t>T</t>
        </is>
      </c>
      <c r="C27" t="inlineStr" s="4">
        <is>
          <t>H2O2</t>
        </is>
      </c>
    </row>
    <row r="28" spans="1:3" x14ac:dyDescent="0.2">
      <c r="A28" t="inlineStr" s="4">
        <is>
          <t>density</t>
        </is>
      </c>
      <c r="C28" t="inlineStr" s="4">
        <is>
          <t>O3</t>
        </is>
      </c>
    </row>
    <row r="29" spans="1:1" x14ac:dyDescent="0.2">
      <c r="A29" t="inlineStr" s="4">
        <is>
          <t>enthalpy</t>
        </is>
      </c>
    </row>
    <row r="30" spans="1:1" x14ac:dyDescent="0.2">
      <c r="A30" t="inlineStr" s="4">
        <is>
          <t>energy</t>
        </is>
      </c>
    </row>
    <row r="31" spans="1:1" x14ac:dyDescent="0.2">
      <c r="A31" t="inlineStr" s="4">
        <is>
          <t>gibbs_energy</t>
        </is>
      </c>
    </row>
    <row r="32" spans="1:1" x14ac:dyDescent="0.2">
      <c r="A32" t="inlineStr" s="4">
        <is>
          <t>entropy</t>
        </is>
      </c>
    </row>
    <row r="33" spans="1:1" x14ac:dyDescent="0.2">
      <c r="A33" t="inlineStr" s="4">
        <is>
          <t>M</t>
        </is>
      </c>
    </row>
    <row r="34" spans="1:1" x14ac:dyDescent="0.2">
      <c r="A34" t="inlineStr" s="4">
        <is>
          <t>MW</t>
        </is>
      </c>
    </row>
    <row r="35" spans="1:1" x14ac:dyDescent="0.2">
      <c r="A35" t="inlineStr" s="4">
        <is>
          <t>gamma_s</t>
        </is>
      </c>
    </row>
    <row r="36" spans="1:1" x14ac:dyDescent="0.2">
      <c r="A36" t="inlineStr" s="4">
        <is>
          <t>cp_eq</t>
        </is>
      </c>
    </row>
    <row r="37" spans="1:1" x14ac:dyDescent="0.2">
      <c r="A37" t="inlineStr" s="4">
        <is>
          <t>cp_fr</t>
        </is>
      </c>
    </row>
    <row r="38" spans="1:1" x14ac:dyDescent="0.2">
      <c r="A38" t="inlineStr" s="4">
        <is>
          <t>cv_eq</t>
        </is>
      </c>
    </row>
    <row r="39" spans="1:1" x14ac:dyDescent="0.2">
      <c r="A39" t="inlineStr" s="4">
        <is>
          <t>cv_fr</t>
        </is>
      </c>
    </row>
    <row r="40" spans="1:1" x14ac:dyDescent="0.2">
      <c r="A40" t="inlineStr" s="4">
        <is>
          <t>Mach</t>
        </is>
      </c>
    </row>
    <row r="41" spans="1:1" x14ac:dyDescent="0.2">
      <c r="A41" t="inlineStr" s="4">
        <is>
          <t>velocity</t>
        </is>
      </c>
    </row>
    <row r="42" spans="1:1" x14ac:dyDescent="0.2">
      <c r="A42" t="inlineStr" s="4">
        <is>
          <t>sonic_velocity</t>
        </is>
      </c>
    </row>
    <row r="43" spans="1:1" x14ac:dyDescent="0.2">
      <c r="A43" t="inlineStr" s="4">
        <is>
          <t>P_P1</t>
        </is>
      </c>
    </row>
    <row r="44" spans="1:1" x14ac:dyDescent="0.2">
      <c r="A44" t="inlineStr" s="4">
        <is>
          <t>T_T1</t>
        </is>
      </c>
    </row>
    <row r="45" spans="1:1" x14ac:dyDescent="0.2">
      <c r="A45" t="inlineStr" s="4">
        <is>
          <t>M_M1</t>
        </is>
      </c>
    </row>
    <row r="46" spans="1:1" x14ac:dyDescent="0.2">
      <c r="A46" t="inlineStr" s="4">
        <is>
          <t>rho_rho1</t>
        </is>
      </c>
    </row>
    <row r="47" spans="1:1" x14ac:dyDescent="0.2">
      <c r="A47" t="inlineStr" s="4">
        <is>
          <t>viscosity</t>
        </is>
      </c>
    </row>
    <row r="48" spans="1:1" x14ac:dyDescent="0.2">
      <c r="A48" t="inlineStr" s="4">
        <is>
          <t>conductivity_fr</t>
        </is>
      </c>
    </row>
    <row r="49" spans="1:1" x14ac:dyDescent="0.2">
      <c r="A49" t="inlineStr" s="4">
        <is>
          <t>conductivity_eq</t>
        </is>
      </c>
    </row>
    <row r="50" spans="1:1" x14ac:dyDescent="0.2">
      <c r="A50" t="inlineStr" s="4">
        <is>
          <t>Pr_fr</t>
        </is>
      </c>
    </row>
    <row r="51" spans="1:1" x14ac:dyDescent="0.2">
      <c r="A51" t="inlineStr" s="4">
        <is>
          <t>Pr_eq</t>
        </is>
      </c>
    </row>
    <row r="56" spans="1:58" x14ac:dyDescent="0.2">
      <c r="A56" t="inlineStr" s="3">
        <is>
          <t>case</t>
        </is>
      </c>
      <c r="B56" t="inlineStr" s="3">
        <is>
          <t>r_eq</t>
        </is>
      </c>
      <c r="C56" t="inlineStr" s="3">
        <is>
          <t>of_ratio</t>
        </is>
      </c>
      <c r="D56" t="inlineStr" s="3">
        <is>
          <t>T1, K</t>
        </is>
      </c>
      <c r="E56" t="inlineStr" s="3">
        <is>
          <t>p1, bar</t>
        </is>
      </c>
      <c r="F56" t="inlineStr" s="3">
        <is>
          <t>status</t>
        </is>
      </c>
      <c r="G56" t="inlineStr" s="3">
        <is>
          <t>converged</t>
        </is>
      </c>
      <c r="H56" t="inlineStr" s="3">
        <is>
          <t>message</t>
        </is>
      </c>
      <c r="I56" t="inlineStr" s="3">
        <is>
          <t>P1</t>
        </is>
      </c>
      <c r="J56" t="inlineStr" s="3">
        <is>
          <t>T1</t>
        </is>
      </c>
      <c r="K56" t="inlineStr" s="3">
        <is>
          <t>H1</t>
        </is>
      </c>
      <c r="L56" t="inlineStr" s="3">
        <is>
          <t>M1</t>
        </is>
      </c>
      <c r="M56" t="inlineStr" s="3">
        <is>
          <t>gamma1</t>
        </is>
      </c>
      <c r="N56" t="inlineStr" s="3">
        <is>
          <t>sonic_velocity1</t>
        </is>
      </c>
      <c r="O56" t="inlineStr" s="3">
        <is>
          <t>P</t>
        </is>
      </c>
      <c r="P56" t="inlineStr" s="3">
        <is>
          <t>T</t>
        </is>
      </c>
      <c r="Q56" t="inlineStr" s="3">
        <is>
          <t>density</t>
        </is>
      </c>
      <c r="R56" t="inlineStr" s="3">
        <is>
          <t>enthalpy</t>
        </is>
      </c>
      <c r="S56" t="inlineStr" s="3">
        <is>
          <t>energy</t>
        </is>
      </c>
      <c r="T56" t="inlineStr" s="3">
        <is>
          <t>gibbs_energy</t>
        </is>
      </c>
      <c r="U56" t="inlineStr" s="3">
        <is>
          <t>entropy</t>
        </is>
      </c>
      <c r="V56" t="inlineStr" s="3">
        <is>
          <t>M</t>
        </is>
      </c>
      <c r="W56" t="inlineStr" s="3">
        <is>
          <t>MW</t>
        </is>
      </c>
      <c r="X56" t="inlineStr" s="3">
        <is>
          <t>gamma_s</t>
        </is>
      </c>
      <c r="Y56" t="inlineStr" s="3">
        <is>
          <t>cp_eq</t>
        </is>
      </c>
      <c r="Z56" t="inlineStr" s="3">
        <is>
          <t>cp_fr</t>
        </is>
      </c>
      <c r="AA56" t="inlineStr" s="3">
        <is>
          <t>cv_eq</t>
        </is>
      </c>
      <c r="AB56" t="inlineStr" s="3">
        <is>
          <t>cv_fr</t>
        </is>
      </c>
      <c r="AC56" t="inlineStr" s="3">
        <is>
          <t>Mach</t>
        </is>
      </c>
      <c r="AD56" t="inlineStr" s="3">
        <is>
          <t>velocity</t>
        </is>
      </c>
      <c r="AE56" t="inlineStr" s="3">
        <is>
          <t>sonic_velocity</t>
        </is>
      </c>
      <c r="AF56" t="inlineStr" s="3">
        <is>
          <t>P_P1</t>
        </is>
      </c>
      <c r="AG56" t="inlineStr" s="3">
        <is>
          <t>T_T1</t>
        </is>
      </c>
      <c r="AH56" t="inlineStr" s="3">
        <is>
          <t>M_M1</t>
        </is>
      </c>
      <c r="AI56" t="inlineStr" s="3">
        <is>
          <t>rho_rho1</t>
        </is>
      </c>
      <c r="AJ56" t="inlineStr" s="3">
        <is>
          <t>viscosity</t>
        </is>
      </c>
      <c r="AK56" t="inlineStr" s="3">
        <is>
          <t>conductivity_fr</t>
        </is>
      </c>
      <c r="AL56" t="inlineStr" s="3">
        <is>
          <t>conductivity_eq</t>
        </is>
      </c>
      <c r="AM56" t="inlineStr" s="3">
        <is>
          <t>Pr_fr</t>
        </is>
      </c>
      <c r="AN56" t="inlineStr" s="3">
        <is>
          <t>Pr_eq</t>
        </is>
      </c>
      <c r="AO56" t="inlineStr" s="3">
        <is>
          <t>mass_H2</t>
        </is>
      </c>
      <c r="AP56" t="inlineStr" s="3">
        <is>
          <t>mole_H2</t>
        </is>
      </c>
      <c r="AQ56" t="inlineStr" s="3">
        <is>
          <t>mass_O2</t>
        </is>
      </c>
      <c r="AR56" t="inlineStr" s="3">
        <is>
          <t>mole_O2</t>
        </is>
      </c>
      <c r="AS56" t="inlineStr" s="3">
        <is>
          <t>mass_H</t>
        </is>
      </c>
      <c r="AT56" t="inlineStr" s="3">
        <is>
          <t>mole_H</t>
        </is>
      </c>
      <c r="AU56" t="inlineStr" s="3">
        <is>
          <t>mass_O</t>
        </is>
      </c>
      <c r="AV56" t="inlineStr" s="3">
        <is>
          <t>mole_O</t>
        </is>
      </c>
      <c r="AW56" t="inlineStr" s="3">
        <is>
          <t>mass_OH</t>
        </is>
      </c>
      <c r="AX56" t="inlineStr" s="3">
        <is>
          <t>mole_OH</t>
        </is>
      </c>
      <c r="AY56" t="inlineStr" s="3">
        <is>
          <t>mass_H2O</t>
        </is>
      </c>
      <c r="AZ56" t="inlineStr" s="3">
        <is>
          <t>mole_H2O</t>
        </is>
      </c>
      <c r="BA56" t="inlineStr" s="3">
        <is>
          <t>mass_HO2</t>
        </is>
      </c>
      <c r="BB56" t="inlineStr" s="3">
        <is>
          <t>mole_HO2</t>
        </is>
      </c>
      <c r="BC56" t="inlineStr" s="3">
        <is>
          <t>mass_H2O2</t>
        </is>
      </c>
      <c r="BD56" t="inlineStr" s="3">
        <is>
          <t>mole_H2O2</t>
        </is>
      </c>
      <c r="BE56" t="inlineStr" s="3">
        <is>
          <t>mass_O3</t>
        </is>
      </c>
      <c r="BF56" t="inlineStr" s="3">
        <is>
          <t>mole_O3</t>
        </is>
      </c>
    </row>
    <row r="57" spans="1:58" x14ac:dyDescent="0.2">
      <c r="A57" s="9">
        <v>1</v>
      </c>
      <c r="B57" s="5">
        <f>$B$15</f>
      </c>
      <c r="C57" s="5">
        <f>$B$16</f>
      </c>
      <c r="D57" s="4">
        <v>298.15</v>
      </c>
      <c r="E57" s="4">
        <v>1.0</v>
      </c>
      <c r="F57" s="5">
        <f>INDEX(CEA_DETONATION_SOLVE($A$10:$D$12,D57,E57,C57,,,,,$B$5,,,$A$20:$A$51,$C$20:$C$28,$B$4,$B$6,$B$7),1,1)</f>
      </c>
      <c r="G57" s="5">
        <f>INDEX(CEA_DETONATION_SOLVE($A$10:$D$12,D57,E57,C57,,,,,$B$5,,,$A$20:$A$51,$C$20:$C$28,$B$4,$B$6,$B$7),1,2)</f>
      </c>
      <c r="H57" s="5">
        <f>INDEX(CEA_DETONATION_SOLVE($A$10:$D$12,D57,E57,C57,,,,,$B$5,,,$A$20:$A$51,$C$20:$C$28,$B$4,$B$6,$B$7),1,3)</f>
      </c>
      <c r="I57" s="5">
        <f>INDEX(CEA_DETONATION_SOLVE($A$10:$D$12,D57,E57,C57,,,,,$B$5,,,$A$20:$A$51,$C$20:$C$28,$B$4,$B$6,$B$7),1,4)</f>
      </c>
      <c r="J57" s="5">
        <f>INDEX(CEA_DETONATION_SOLVE($A$10:$D$12,D57,E57,C57,,,,,$B$5,,,$A$20:$A$51,$C$20:$C$28,$B$4,$B$6,$B$7),1,5)</f>
      </c>
      <c r="K57" s="5">
        <f>INDEX(CEA_DETONATION_SOLVE($A$10:$D$12,D57,E57,C57,,,,,$B$5,,,$A$20:$A$51,$C$20:$C$28,$B$4,$B$6,$B$7),1,6)</f>
      </c>
      <c r="L57" s="5">
        <f>INDEX(CEA_DETONATION_SOLVE($A$10:$D$12,D57,E57,C57,,,,,$B$5,,,$A$20:$A$51,$C$20:$C$28,$B$4,$B$6,$B$7),1,7)</f>
      </c>
      <c r="M57" s="5">
        <f>INDEX(CEA_DETONATION_SOLVE($A$10:$D$12,D57,E57,C57,,,,,$B$5,,,$A$20:$A$51,$C$20:$C$28,$B$4,$B$6,$B$7),1,8)</f>
      </c>
      <c r="N57" s="5">
        <f>INDEX(CEA_DETONATION_SOLVE($A$10:$D$12,D57,E57,C57,,,,,$B$5,,,$A$20:$A$51,$C$20:$C$28,$B$4,$B$6,$B$7),1,9)</f>
      </c>
      <c r="O57" s="5">
        <f>INDEX(CEA_DETONATION_SOLVE($A$10:$D$12,D57,E57,C57,,,,,$B$5,,,$A$20:$A$51,$C$20:$C$28,$B$4,$B$6,$B$7),1,10)</f>
      </c>
      <c r="P57" s="5">
        <f>INDEX(CEA_DETONATION_SOLVE($A$10:$D$12,D57,E57,C57,,,,,$B$5,,,$A$20:$A$51,$C$20:$C$28,$B$4,$B$6,$B$7),1,11)</f>
      </c>
      <c r="Q57" s="5">
        <f>INDEX(CEA_DETONATION_SOLVE($A$10:$D$12,D57,E57,C57,,,,,$B$5,,,$A$20:$A$51,$C$20:$C$28,$B$4,$B$6,$B$7),1,12)</f>
      </c>
      <c r="R57" s="5">
        <f>INDEX(CEA_DETONATION_SOLVE($A$10:$D$12,D57,E57,C57,,,,,$B$5,,,$A$20:$A$51,$C$20:$C$28,$B$4,$B$6,$B$7),1,13)</f>
      </c>
      <c r="S57" s="5">
        <f>INDEX(CEA_DETONATION_SOLVE($A$10:$D$12,D57,E57,C57,,,,,$B$5,,,$A$20:$A$51,$C$20:$C$28,$B$4,$B$6,$B$7),1,14)</f>
      </c>
      <c r="T57" s="5">
        <f>INDEX(CEA_DETONATION_SOLVE($A$10:$D$12,D57,E57,C57,,,,,$B$5,,,$A$20:$A$51,$C$20:$C$28,$B$4,$B$6,$B$7),1,15)</f>
      </c>
      <c r="U57" s="5">
        <f>INDEX(CEA_DETONATION_SOLVE($A$10:$D$12,D57,E57,C57,,,,,$B$5,,,$A$20:$A$51,$C$20:$C$28,$B$4,$B$6,$B$7),1,16)</f>
      </c>
      <c r="V57" s="5">
        <f>INDEX(CEA_DETONATION_SOLVE($A$10:$D$12,D57,E57,C57,,,,,$B$5,,,$A$20:$A$51,$C$20:$C$28,$B$4,$B$6,$B$7),1,17)</f>
      </c>
      <c r="W57" s="5">
        <f>INDEX(CEA_DETONATION_SOLVE($A$10:$D$12,D57,E57,C57,,,,,$B$5,,,$A$20:$A$51,$C$20:$C$28,$B$4,$B$6,$B$7),1,18)</f>
      </c>
      <c r="X57" s="5">
        <f>INDEX(CEA_DETONATION_SOLVE($A$10:$D$12,D57,E57,C57,,,,,$B$5,,,$A$20:$A$51,$C$20:$C$28,$B$4,$B$6,$B$7),1,19)</f>
      </c>
      <c r="Y57" s="5">
        <f>INDEX(CEA_DETONATION_SOLVE($A$10:$D$12,D57,E57,C57,,,,,$B$5,,,$A$20:$A$51,$C$20:$C$28,$B$4,$B$6,$B$7),1,20)</f>
      </c>
      <c r="Z57" s="5">
        <f>INDEX(CEA_DETONATION_SOLVE($A$10:$D$12,D57,E57,C57,,,,,$B$5,,,$A$20:$A$51,$C$20:$C$28,$B$4,$B$6,$B$7),1,21)</f>
      </c>
      <c r="AA57" s="5">
        <f>INDEX(CEA_DETONATION_SOLVE($A$10:$D$12,D57,E57,C57,,,,,$B$5,,,$A$20:$A$51,$C$20:$C$28,$B$4,$B$6,$B$7),1,22)</f>
      </c>
      <c r="AB57" s="5">
        <f>INDEX(CEA_DETONATION_SOLVE($A$10:$D$12,D57,E57,C57,,,,,$B$5,,,$A$20:$A$51,$C$20:$C$28,$B$4,$B$6,$B$7),1,23)</f>
      </c>
      <c r="AC57" s="5">
        <f>INDEX(CEA_DETONATION_SOLVE($A$10:$D$12,D57,E57,C57,,,,,$B$5,,,$A$20:$A$51,$C$20:$C$28,$B$4,$B$6,$B$7),1,24)</f>
      </c>
      <c r="AD57" s="5">
        <f>INDEX(CEA_DETONATION_SOLVE($A$10:$D$12,D57,E57,C57,,,,,$B$5,,,$A$20:$A$51,$C$20:$C$28,$B$4,$B$6,$B$7),1,25)</f>
      </c>
      <c r="AE57" s="5">
        <f>INDEX(CEA_DETONATION_SOLVE($A$10:$D$12,D57,E57,C57,,,,,$B$5,,,$A$20:$A$51,$C$20:$C$28,$B$4,$B$6,$B$7),1,26)</f>
      </c>
      <c r="AF57" s="5">
        <f>INDEX(CEA_DETONATION_SOLVE($A$10:$D$12,D57,E57,C57,,,,,$B$5,,,$A$20:$A$51,$C$20:$C$28,$B$4,$B$6,$B$7),1,27)</f>
      </c>
      <c r="AG57" s="5">
        <f>INDEX(CEA_DETONATION_SOLVE($A$10:$D$12,D57,E57,C57,,,,,$B$5,,,$A$20:$A$51,$C$20:$C$28,$B$4,$B$6,$B$7),1,28)</f>
      </c>
      <c r="AH57" s="5">
        <f>INDEX(CEA_DETONATION_SOLVE($A$10:$D$12,D57,E57,C57,,,,,$B$5,,,$A$20:$A$51,$C$20:$C$28,$B$4,$B$6,$B$7),1,29)</f>
      </c>
      <c r="AI57" s="5">
        <f>INDEX(CEA_DETONATION_SOLVE($A$10:$D$12,D57,E57,C57,,,,,$B$5,,,$A$20:$A$51,$C$20:$C$28,$B$4,$B$6,$B$7),1,30)</f>
      </c>
      <c r="AJ57" s="5">
        <f>INDEX(CEA_DETONATION_SOLVE($A$10:$D$12,D57,E57,C57,,,,,$B$5,,,$A$20:$A$51,$C$20:$C$28,$B$4,$B$6,$B$7),1,31)</f>
      </c>
      <c r="AK57" s="5">
        <f>INDEX(CEA_DETONATION_SOLVE($A$10:$D$12,D57,E57,C57,,,,,$B$5,,,$A$20:$A$51,$C$20:$C$28,$B$4,$B$6,$B$7),1,32)</f>
      </c>
      <c r="AL57" s="5">
        <f>INDEX(CEA_DETONATION_SOLVE($A$10:$D$12,D57,E57,C57,,,,,$B$5,,,$A$20:$A$51,$C$20:$C$28,$B$4,$B$6,$B$7),1,33)</f>
      </c>
      <c r="AM57" s="5">
        <f>INDEX(CEA_DETONATION_SOLVE($A$10:$D$12,D57,E57,C57,,,,,$B$5,,,$A$20:$A$51,$C$20:$C$28,$B$4,$B$6,$B$7),1,34)</f>
      </c>
      <c r="AN57" s="5">
        <f>INDEX(CEA_DETONATION_SOLVE($A$10:$D$12,D57,E57,C57,,,,,$B$5,,,$A$20:$A$51,$C$20:$C$28,$B$4,$B$6,$B$7),1,35)</f>
      </c>
      <c r="AO57" s="5">
        <f>INDEX(CEA_DETONATION_SOLVE($A$10:$D$12,D57,E57,C57,,,,,$B$5,,,$A$20:$A$51,$C$20:$C$28,$B$4,$B$6,$B$7),1,36)</f>
      </c>
      <c r="AP57" s="5">
        <f>INDEX(CEA_DETONATION_SOLVE($A$10:$D$12,D57,E57,C57,,,,,$B$5,,,$A$20:$A$51,$C$20:$C$28,$B$4,$B$6,$B$7),1,37)</f>
      </c>
      <c r="AQ57" s="5">
        <f>INDEX(CEA_DETONATION_SOLVE($A$10:$D$12,D57,E57,C57,,,,,$B$5,,,$A$20:$A$51,$C$20:$C$28,$B$4,$B$6,$B$7),1,38)</f>
      </c>
      <c r="AR57" s="5">
        <f>INDEX(CEA_DETONATION_SOLVE($A$10:$D$12,D57,E57,C57,,,,,$B$5,,,$A$20:$A$51,$C$20:$C$28,$B$4,$B$6,$B$7),1,39)</f>
      </c>
      <c r="AS57" s="5">
        <f>INDEX(CEA_DETONATION_SOLVE($A$10:$D$12,D57,E57,C57,,,,,$B$5,,,$A$20:$A$51,$C$20:$C$28,$B$4,$B$6,$B$7),1,40)</f>
      </c>
      <c r="AT57" s="5">
        <f>INDEX(CEA_DETONATION_SOLVE($A$10:$D$12,D57,E57,C57,,,,,$B$5,,,$A$20:$A$51,$C$20:$C$28,$B$4,$B$6,$B$7),1,41)</f>
      </c>
      <c r="AU57" s="5">
        <f>INDEX(CEA_DETONATION_SOLVE($A$10:$D$12,D57,E57,C57,,,,,$B$5,,,$A$20:$A$51,$C$20:$C$28,$B$4,$B$6,$B$7),1,42)</f>
      </c>
      <c r="AV57" s="5">
        <f>INDEX(CEA_DETONATION_SOLVE($A$10:$D$12,D57,E57,C57,,,,,$B$5,,,$A$20:$A$51,$C$20:$C$28,$B$4,$B$6,$B$7),1,43)</f>
      </c>
      <c r="AW57" s="5">
        <f>INDEX(CEA_DETONATION_SOLVE($A$10:$D$12,D57,E57,C57,,,,,$B$5,,,$A$20:$A$51,$C$20:$C$28,$B$4,$B$6,$B$7),1,44)</f>
      </c>
      <c r="AX57" s="5">
        <f>INDEX(CEA_DETONATION_SOLVE($A$10:$D$12,D57,E57,C57,,,,,$B$5,,,$A$20:$A$51,$C$20:$C$28,$B$4,$B$6,$B$7),1,45)</f>
      </c>
      <c r="AY57" s="5">
        <f>INDEX(CEA_DETONATION_SOLVE($A$10:$D$12,D57,E57,C57,,,,,$B$5,,,$A$20:$A$51,$C$20:$C$28,$B$4,$B$6,$B$7),1,46)</f>
      </c>
      <c r="AZ57" s="5">
        <f>INDEX(CEA_DETONATION_SOLVE($A$10:$D$12,D57,E57,C57,,,,,$B$5,,,$A$20:$A$51,$C$20:$C$28,$B$4,$B$6,$B$7),1,47)</f>
      </c>
      <c r="BA57" s="5">
        <f>INDEX(CEA_DETONATION_SOLVE($A$10:$D$12,D57,E57,C57,,,,,$B$5,,,$A$20:$A$51,$C$20:$C$28,$B$4,$B$6,$B$7),1,48)</f>
      </c>
      <c r="BB57" s="5">
        <f>INDEX(CEA_DETONATION_SOLVE($A$10:$D$12,D57,E57,C57,,,,,$B$5,,,$A$20:$A$51,$C$20:$C$28,$B$4,$B$6,$B$7),1,49)</f>
      </c>
      <c r="BC57" s="5">
        <f>INDEX(CEA_DETONATION_SOLVE($A$10:$D$12,D57,E57,C57,,,,,$B$5,,,$A$20:$A$51,$C$20:$C$28,$B$4,$B$6,$B$7),1,50)</f>
      </c>
      <c r="BD57" s="5">
        <f>INDEX(CEA_DETONATION_SOLVE($A$10:$D$12,D57,E57,C57,,,,,$B$5,,,$A$20:$A$51,$C$20:$C$28,$B$4,$B$6,$B$7),1,51)</f>
      </c>
      <c r="BE57" s="5">
        <f>INDEX(CEA_DETONATION_SOLVE($A$10:$D$12,D57,E57,C57,,,,,$B$5,,,$A$20:$A$51,$C$20:$C$28,$B$4,$B$6,$B$7),1,52)</f>
      </c>
      <c r="BF57" s="5">
        <f>INDEX(CEA_DETONATION_SOLVE($A$10:$D$12,D57,E57,C57,,,,,$B$5,,,$A$20:$A$51,$C$20:$C$28,$B$4,$B$6,$B$7),1,53)</f>
      </c>
    </row>
    <row r="58" spans="1:58" x14ac:dyDescent="0.2">
      <c r="A58" s="9">
        <v>2</v>
      </c>
      <c r="B58" s="5">
        <f>$B$15</f>
      </c>
      <c r="C58" s="5">
        <f>$B$16</f>
      </c>
      <c r="D58" s="4">
        <v>298.15</v>
      </c>
      <c r="E58" s="4">
        <v>20.0</v>
      </c>
      <c r="F58" s="5">
        <f>INDEX(CEA_DETONATION_SOLVE($A$10:$D$12,D58,E58,C58,,,,,$B$5,,,$A$20:$A$51,$C$20:$C$28,$B$4,$B$6,$B$7),1,1)</f>
      </c>
      <c r="G58" s="5">
        <f>INDEX(CEA_DETONATION_SOLVE($A$10:$D$12,D58,E58,C58,,,,,$B$5,,,$A$20:$A$51,$C$20:$C$28,$B$4,$B$6,$B$7),1,2)</f>
      </c>
      <c r="H58" s="5">
        <f>INDEX(CEA_DETONATION_SOLVE($A$10:$D$12,D58,E58,C58,,,,,$B$5,,,$A$20:$A$51,$C$20:$C$28,$B$4,$B$6,$B$7),1,3)</f>
      </c>
      <c r="I58" s="5">
        <f>INDEX(CEA_DETONATION_SOLVE($A$10:$D$12,D58,E58,C58,,,,,$B$5,,,$A$20:$A$51,$C$20:$C$28,$B$4,$B$6,$B$7),1,4)</f>
      </c>
      <c r="J58" s="5">
        <f>INDEX(CEA_DETONATION_SOLVE($A$10:$D$12,D58,E58,C58,,,,,$B$5,,,$A$20:$A$51,$C$20:$C$28,$B$4,$B$6,$B$7),1,5)</f>
      </c>
      <c r="K58" s="5">
        <f>INDEX(CEA_DETONATION_SOLVE($A$10:$D$12,D58,E58,C58,,,,,$B$5,,,$A$20:$A$51,$C$20:$C$28,$B$4,$B$6,$B$7),1,6)</f>
      </c>
      <c r="L58" s="5">
        <f>INDEX(CEA_DETONATION_SOLVE($A$10:$D$12,D58,E58,C58,,,,,$B$5,,,$A$20:$A$51,$C$20:$C$28,$B$4,$B$6,$B$7),1,7)</f>
      </c>
      <c r="M58" s="5">
        <f>INDEX(CEA_DETONATION_SOLVE($A$10:$D$12,D58,E58,C58,,,,,$B$5,,,$A$20:$A$51,$C$20:$C$28,$B$4,$B$6,$B$7),1,8)</f>
      </c>
      <c r="N58" s="5">
        <f>INDEX(CEA_DETONATION_SOLVE($A$10:$D$12,D58,E58,C58,,,,,$B$5,,,$A$20:$A$51,$C$20:$C$28,$B$4,$B$6,$B$7),1,9)</f>
      </c>
      <c r="O58" s="5">
        <f>INDEX(CEA_DETONATION_SOLVE($A$10:$D$12,D58,E58,C58,,,,,$B$5,,,$A$20:$A$51,$C$20:$C$28,$B$4,$B$6,$B$7),1,10)</f>
      </c>
      <c r="P58" s="5">
        <f>INDEX(CEA_DETONATION_SOLVE($A$10:$D$12,D58,E58,C58,,,,,$B$5,,,$A$20:$A$51,$C$20:$C$28,$B$4,$B$6,$B$7),1,11)</f>
      </c>
      <c r="Q58" s="5">
        <f>INDEX(CEA_DETONATION_SOLVE($A$10:$D$12,D58,E58,C58,,,,,$B$5,,,$A$20:$A$51,$C$20:$C$28,$B$4,$B$6,$B$7),1,12)</f>
      </c>
      <c r="R58" s="5">
        <f>INDEX(CEA_DETONATION_SOLVE($A$10:$D$12,D58,E58,C58,,,,,$B$5,,,$A$20:$A$51,$C$20:$C$28,$B$4,$B$6,$B$7),1,13)</f>
      </c>
      <c r="S58" s="5">
        <f>INDEX(CEA_DETONATION_SOLVE($A$10:$D$12,D58,E58,C58,,,,,$B$5,,,$A$20:$A$51,$C$20:$C$28,$B$4,$B$6,$B$7),1,14)</f>
      </c>
      <c r="T58" s="5">
        <f>INDEX(CEA_DETONATION_SOLVE($A$10:$D$12,D58,E58,C58,,,,,$B$5,,,$A$20:$A$51,$C$20:$C$28,$B$4,$B$6,$B$7),1,15)</f>
      </c>
      <c r="U58" s="5">
        <f>INDEX(CEA_DETONATION_SOLVE($A$10:$D$12,D58,E58,C58,,,,,$B$5,,,$A$20:$A$51,$C$20:$C$28,$B$4,$B$6,$B$7),1,16)</f>
      </c>
      <c r="V58" s="5">
        <f>INDEX(CEA_DETONATION_SOLVE($A$10:$D$12,D58,E58,C58,,,,,$B$5,,,$A$20:$A$51,$C$20:$C$28,$B$4,$B$6,$B$7),1,17)</f>
      </c>
      <c r="W58" s="5">
        <f>INDEX(CEA_DETONATION_SOLVE($A$10:$D$12,D58,E58,C58,,,,,$B$5,,,$A$20:$A$51,$C$20:$C$28,$B$4,$B$6,$B$7),1,18)</f>
      </c>
      <c r="X58" s="5">
        <f>INDEX(CEA_DETONATION_SOLVE($A$10:$D$12,D58,E58,C58,,,,,$B$5,,,$A$20:$A$51,$C$20:$C$28,$B$4,$B$6,$B$7),1,19)</f>
      </c>
      <c r="Y58" s="5">
        <f>INDEX(CEA_DETONATION_SOLVE($A$10:$D$12,D58,E58,C58,,,,,$B$5,,,$A$20:$A$51,$C$20:$C$28,$B$4,$B$6,$B$7),1,20)</f>
      </c>
      <c r="Z58" s="5">
        <f>INDEX(CEA_DETONATION_SOLVE($A$10:$D$12,D58,E58,C58,,,,,$B$5,,,$A$20:$A$51,$C$20:$C$28,$B$4,$B$6,$B$7),1,21)</f>
      </c>
      <c r="AA58" s="5">
        <f>INDEX(CEA_DETONATION_SOLVE($A$10:$D$12,D58,E58,C58,,,,,$B$5,,,$A$20:$A$51,$C$20:$C$28,$B$4,$B$6,$B$7),1,22)</f>
      </c>
      <c r="AB58" s="5">
        <f>INDEX(CEA_DETONATION_SOLVE($A$10:$D$12,D58,E58,C58,,,,,$B$5,,,$A$20:$A$51,$C$20:$C$28,$B$4,$B$6,$B$7),1,23)</f>
      </c>
      <c r="AC58" s="5">
        <f>INDEX(CEA_DETONATION_SOLVE($A$10:$D$12,D58,E58,C58,,,,,$B$5,,,$A$20:$A$51,$C$20:$C$28,$B$4,$B$6,$B$7),1,24)</f>
      </c>
      <c r="AD58" s="5">
        <f>INDEX(CEA_DETONATION_SOLVE($A$10:$D$12,D58,E58,C58,,,,,$B$5,,,$A$20:$A$51,$C$20:$C$28,$B$4,$B$6,$B$7),1,25)</f>
      </c>
      <c r="AE58" s="5">
        <f>INDEX(CEA_DETONATION_SOLVE($A$10:$D$12,D58,E58,C58,,,,,$B$5,,,$A$20:$A$51,$C$20:$C$28,$B$4,$B$6,$B$7),1,26)</f>
      </c>
      <c r="AF58" s="5">
        <f>INDEX(CEA_DETONATION_SOLVE($A$10:$D$12,D58,E58,C58,,,,,$B$5,,,$A$20:$A$51,$C$20:$C$28,$B$4,$B$6,$B$7),1,27)</f>
      </c>
      <c r="AG58" s="5">
        <f>INDEX(CEA_DETONATION_SOLVE($A$10:$D$12,D58,E58,C58,,,,,$B$5,,,$A$20:$A$51,$C$20:$C$28,$B$4,$B$6,$B$7),1,28)</f>
      </c>
      <c r="AH58" s="5">
        <f>INDEX(CEA_DETONATION_SOLVE($A$10:$D$12,D58,E58,C58,,,,,$B$5,,,$A$20:$A$51,$C$20:$C$28,$B$4,$B$6,$B$7),1,29)</f>
      </c>
      <c r="AI58" s="5">
        <f>INDEX(CEA_DETONATION_SOLVE($A$10:$D$12,D58,E58,C58,,,,,$B$5,,,$A$20:$A$51,$C$20:$C$28,$B$4,$B$6,$B$7),1,30)</f>
      </c>
      <c r="AJ58" s="5">
        <f>INDEX(CEA_DETONATION_SOLVE($A$10:$D$12,D58,E58,C58,,,,,$B$5,,,$A$20:$A$51,$C$20:$C$28,$B$4,$B$6,$B$7),1,31)</f>
      </c>
      <c r="AK58" s="5">
        <f>INDEX(CEA_DETONATION_SOLVE($A$10:$D$12,D58,E58,C58,,,,,$B$5,,,$A$20:$A$51,$C$20:$C$28,$B$4,$B$6,$B$7),1,32)</f>
      </c>
      <c r="AL58" s="5">
        <f>INDEX(CEA_DETONATION_SOLVE($A$10:$D$12,D58,E58,C58,,,,,$B$5,,,$A$20:$A$51,$C$20:$C$28,$B$4,$B$6,$B$7),1,33)</f>
      </c>
      <c r="AM58" s="5">
        <f>INDEX(CEA_DETONATION_SOLVE($A$10:$D$12,D58,E58,C58,,,,,$B$5,,,$A$20:$A$51,$C$20:$C$28,$B$4,$B$6,$B$7),1,34)</f>
      </c>
      <c r="AN58" s="5">
        <f>INDEX(CEA_DETONATION_SOLVE($A$10:$D$12,D58,E58,C58,,,,,$B$5,,,$A$20:$A$51,$C$20:$C$28,$B$4,$B$6,$B$7),1,35)</f>
      </c>
      <c r="AO58" s="5">
        <f>INDEX(CEA_DETONATION_SOLVE($A$10:$D$12,D58,E58,C58,,,,,$B$5,,,$A$20:$A$51,$C$20:$C$28,$B$4,$B$6,$B$7),1,36)</f>
      </c>
      <c r="AP58" s="5">
        <f>INDEX(CEA_DETONATION_SOLVE($A$10:$D$12,D58,E58,C58,,,,,$B$5,,,$A$20:$A$51,$C$20:$C$28,$B$4,$B$6,$B$7),1,37)</f>
      </c>
      <c r="AQ58" s="5">
        <f>INDEX(CEA_DETONATION_SOLVE($A$10:$D$12,D58,E58,C58,,,,,$B$5,,,$A$20:$A$51,$C$20:$C$28,$B$4,$B$6,$B$7),1,38)</f>
      </c>
      <c r="AR58" s="5">
        <f>INDEX(CEA_DETONATION_SOLVE($A$10:$D$12,D58,E58,C58,,,,,$B$5,,,$A$20:$A$51,$C$20:$C$28,$B$4,$B$6,$B$7),1,39)</f>
      </c>
      <c r="AS58" s="5">
        <f>INDEX(CEA_DETONATION_SOLVE($A$10:$D$12,D58,E58,C58,,,,,$B$5,,,$A$20:$A$51,$C$20:$C$28,$B$4,$B$6,$B$7),1,40)</f>
      </c>
      <c r="AT58" s="5">
        <f>INDEX(CEA_DETONATION_SOLVE($A$10:$D$12,D58,E58,C58,,,,,$B$5,,,$A$20:$A$51,$C$20:$C$28,$B$4,$B$6,$B$7),1,41)</f>
      </c>
      <c r="AU58" s="5">
        <f>INDEX(CEA_DETONATION_SOLVE($A$10:$D$12,D58,E58,C58,,,,,$B$5,,,$A$20:$A$51,$C$20:$C$28,$B$4,$B$6,$B$7),1,42)</f>
      </c>
      <c r="AV58" s="5">
        <f>INDEX(CEA_DETONATION_SOLVE($A$10:$D$12,D58,E58,C58,,,,,$B$5,,,$A$20:$A$51,$C$20:$C$28,$B$4,$B$6,$B$7),1,43)</f>
      </c>
      <c r="AW58" s="5">
        <f>INDEX(CEA_DETONATION_SOLVE($A$10:$D$12,D58,E58,C58,,,,,$B$5,,,$A$20:$A$51,$C$20:$C$28,$B$4,$B$6,$B$7),1,44)</f>
      </c>
      <c r="AX58" s="5">
        <f>INDEX(CEA_DETONATION_SOLVE($A$10:$D$12,D58,E58,C58,,,,,$B$5,,,$A$20:$A$51,$C$20:$C$28,$B$4,$B$6,$B$7),1,45)</f>
      </c>
      <c r="AY58" s="5">
        <f>INDEX(CEA_DETONATION_SOLVE($A$10:$D$12,D58,E58,C58,,,,,$B$5,,,$A$20:$A$51,$C$20:$C$28,$B$4,$B$6,$B$7),1,46)</f>
      </c>
      <c r="AZ58" s="5">
        <f>INDEX(CEA_DETONATION_SOLVE($A$10:$D$12,D58,E58,C58,,,,,$B$5,,,$A$20:$A$51,$C$20:$C$28,$B$4,$B$6,$B$7),1,47)</f>
      </c>
      <c r="BA58" s="5">
        <f>INDEX(CEA_DETONATION_SOLVE($A$10:$D$12,D58,E58,C58,,,,,$B$5,,,$A$20:$A$51,$C$20:$C$28,$B$4,$B$6,$B$7),1,48)</f>
      </c>
      <c r="BB58" s="5">
        <f>INDEX(CEA_DETONATION_SOLVE($A$10:$D$12,D58,E58,C58,,,,,$B$5,,,$A$20:$A$51,$C$20:$C$28,$B$4,$B$6,$B$7),1,49)</f>
      </c>
      <c r="BC58" s="5">
        <f>INDEX(CEA_DETONATION_SOLVE($A$10:$D$12,D58,E58,C58,,,,,$B$5,,,$A$20:$A$51,$C$20:$C$28,$B$4,$B$6,$B$7),1,50)</f>
      </c>
      <c r="BD58" s="5">
        <f>INDEX(CEA_DETONATION_SOLVE($A$10:$D$12,D58,E58,C58,,,,,$B$5,,,$A$20:$A$51,$C$20:$C$28,$B$4,$B$6,$B$7),1,51)</f>
      </c>
      <c r="BE58" s="5">
        <f>INDEX(CEA_DETONATION_SOLVE($A$10:$D$12,D58,E58,C58,,,,,$B$5,,,$A$20:$A$51,$C$20:$C$28,$B$4,$B$6,$B$7),1,52)</f>
      </c>
      <c r="BF58" s="5">
        <f>INDEX(CEA_DETONATION_SOLVE($A$10:$D$12,D58,E58,C58,,,,,$B$5,,,$A$20:$A$51,$C$20:$C$28,$B$4,$B$6,$B$7),1,53)</f>
      </c>
    </row>
    <row r="59" spans="1:58" x14ac:dyDescent="0.2">
      <c r="A59" s="9">
        <v>3</v>
      </c>
      <c r="B59" s="5">
        <f>$B$15</f>
      </c>
      <c r="C59" s="5">
        <f>$B$16</f>
      </c>
      <c r="D59" s="4">
        <v>500.0</v>
      </c>
      <c r="E59" s="4">
        <v>1.0</v>
      </c>
      <c r="F59" s="5">
        <f>INDEX(CEA_DETONATION_SOLVE($A$10:$D$12,D59,E59,C59,,,,,$B$5,,,$A$20:$A$51,$C$20:$C$28,$B$4,$B$6,$B$7),1,1)</f>
      </c>
      <c r="G59" s="5">
        <f>INDEX(CEA_DETONATION_SOLVE($A$10:$D$12,D59,E59,C59,,,,,$B$5,,,$A$20:$A$51,$C$20:$C$28,$B$4,$B$6,$B$7),1,2)</f>
      </c>
      <c r="H59" s="5">
        <f>INDEX(CEA_DETONATION_SOLVE($A$10:$D$12,D59,E59,C59,,,,,$B$5,,,$A$20:$A$51,$C$20:$C$28,$B$4,$B$6,$B$7),1,3)</f>
      </c>
      <c r="I59" s="5">
        <f>INDEX(CEA_DETONATION_SOLVE($A$10:$D$12,D59,E59,C59,,,,,$B$5,,,$A$20:$A$51,$C$20:$C$28,$B$4,$B$6,$B$7),1,4)</f>
      </c>
      <c r="J59" s="5">
        <f>INDEX(CEA_DETONATION_SOLVE($A$10:$D$12,D59,E59,C59,,,,,$B$5,,,$A$20:$A$51,$C$20:$C$28,$B$4,$B$6,$B$7),1,5)</f>
      </c>
      <c r="K59" s="5">
        <f>INDEX(CEA_DETONATION_SOLVE($A$10:$D$12,D59,E59,C59,,,,,$B$5,,,$A$20:$A$51,$C$20:$C$28,$B$4,$B$6,$B$7),1,6)</f>
      </c>
      <c r="L59" s="5">
        <f>INDEX(CEA_DETONATION_SOLVE($A$10:$D$12,D59,E59,C59,,,,,$B$5,,,$A$20:$A$51,$C$20:$C$28,$B$4,$B$6,$B$7),1,7)</f>
      </c>
      <c r="M59" s="5">
        <f>INDEX(CEA_DETONATION_SOLVE($A$10:$D$12,D59,E59,C59,,,,,$B$5,,,$A$20:$A$51,$C$20:$C$28,$B$4,$B$6,$B$7),1,8)</f>
      </c>
      <c r="N59" s="5">
        <f>INDEX(CEA_DETONATION_SOLVE($A$10:$D$12,D59,E59,C59,,,,,$B$5,,,$A$20:$A$51,$C$20:$C$28,$B$4,$B$6,$B$7),1,9)</f>
      </c>
      <c r="O59" s="5">
        <f>INDEX(CEA_DETONATION_SOLVE($A$10:$D$12,D59,E59,C59,,,,,$B$5,,,$A$20:$A$51,$C$20:$C$28,$B$4,$B$6,$B$7),1,10)</f>
      </c>
      <c r="P59" s="5">
        <f>INDEX(CEA_DETONATION_SOLVE($A$10:$D$12,D59,E59,C59,,,,,$B$5,,,$A$20:$A$51,$C$20:$C$28,$B$4,$B$6,$B$7),1,11)</f>
      </c>
      <c r="Q59" s="5">
        <f>INDEX(CEA_DETONATION_SOLVE($A$10:$D$12,D59,E59,C59,,,,,$B$5,,,$A$20:$A$51,$C$20:$C$28,$B$4,$B$6,$B$7),1,12)</f>
      </c>
      <c r="R59" s="5">
        <f>INDEX(CEA_DETONATION_SOLVE($A$10:$D$12,D59,E59,C59,,,,,$B$5,,,$A$20:$A$51,$C$20:$C$28,$B$4,$B$6,$B$7),1,13)</f>
      </c>
      <c r="S59" s="5">
        <f>INDEX(CEA_DETONATION_SOLVE($A$10:$D$12,D59,E59,C59,,,,,$B$5,,,$A$20:$A$51,$C$20:$C$28,$B$4,$B$6,$B$7),1,14)</f>
      </c>
      <c r="T59" s="5">
        <f>INDEX(CEA_DETONATION_SOLVE($A$10:$D$12,D59,E59,C59,,,,,$B$5,,,$A$20:$A$51,$C$20:$C$28,$B$4,$B$6,$B$7),1,15)</f>
      </c>
      <c r="U59" s="5">
        <f>INDEX(CEA_DETONATION_SOLVE($A$10:$D$12,D59,E59,C59,,,,,$B$5,,,$A$20:$A$51,$C$20:$C$28,$B$4,$B$6,$B$7),1,16)</f>
      </c>
      <c r="V59" s="5">
        <f>INDEX(CEA_DETONATION_SOLVE($A$10:$D$12,D59,E59,C59,,,,,$B$5,,,$A$20:$A$51,$C$20:$C$28,$B$4,$B$6,$B$7),1,17)</f>
      </c>
      <c r="W59" s="5">
        <f>INDEX(CEA_DETONATION_SOLVE($A$10:$D$12,D59,E59,C59,,,,,$B$5,,,$A$20:$A$51,$C$20:$C$28,$B$4,$B$6,$B$7),1,18)</f>
      </c>
      <c r="X59" s="5">
        <f>INDEX(CEA_DETONATION_SOLVE($A$10:$D$12,D59,E59,C59,,,,,$B$5,,,$A$20:$A$51,$C$20:$C$28,$B$4,$B$6,$B$7),1,19)</f>
      </c>
      <c r="Y59" s="5">
        <f>INDEX(CEA_DETONATION_SOLVE($A$10:$D$12,D59,E59,C59,,,,,$B$5,,,$A$20:$A$51,$C$20:$C$28,$B$4,$B$6,$B$7),1,20)</f>
      </c>
      <c r="Z59" s="5">
        <f>INDEX(CEA_DETONATION_SOLVE($A$10:$D$12,D59,E59,C59,,,,,$B$5,,,$A$20:$A$51,$C$20:$C$28,$B$4,$B$6,$B$7),1,21)</f>
      </c>
      <c r="AA59" s="5">
        <f>INDEX(CEA_DETONATION_SOLVE($A$10:$D$12,D59,E59,C59,,,,,$B$5,,,$A$20:$A$51,$C$20:$C$28,$B$4,$B$6,$B$7),1,22)</f>
      </c>
      <c r="AB59" s="5">
        <f>INDEX(CEA_DETONATION_SOLVE($A$10:$D$12,D59,E59,C59,,,,,$B$5,,,$A$20:$A$51,$C$20:$C$28,$B$4,$B$6,$B$7),1,23)</f>
      </c>
      <c r="AC59" s="5">
        <f>INDEX(CEA_DETONATION_SOLVE($A$10:$D$12,D59,E59,C59,,,,,$B$5,,,$A$20:$A$51,$C$20:$C$28,$B$4,$B$6,$B$7),1,24)</f>
      </c>
      <c r="AD59" s="5">
        <f>INDEX(CEA_DETONATION_SOLVE($A$10:$D$12,D59,E59,C59,,,,,$B$5,,,$A$20:$A$51,$C$20:$C$28,$B$4,$B$6,$B$7),1,25)</f>
      </c>
      <c r="AE59" s="5">
        <f>INDEX(CEA_DETONATION_SOLVE($A$10:$D$12,D59,E59,C59,,,,,$B$5,,,$A$20:$A$51,$C$20:$C$28,$B$4,$B$6,$B$7),1,26)</f>
      </c>
      <c r="AF59" s="5">
        <f>INDEX(CEA_DETONATION_SOLVE($A$10:$D$12,D59,E59,C59,,,,,$B$5,,,$A$20:$A$51,$C$20:$C$28,$B$4,$B$6,$B$7),1,27)</f>
      </c>
      <c r="AG59" s="5">
        <f>INDEX(CEA_DETONATION_SOLVE($A$10:$D$12,D59,E59,C59,,,,,$B$5,,,$A$20:$A$51,$C$20:$C$28,$B$4,$B$6,$B$7),1,28)</f>
      </c>
      <c r="AH59" s="5">
        <f>INDEX(CEA_DETONATION_SOLVE($A$10:$D$12,D59,E59,C59,,,,,$B$5,,,$A$20:$A$51,$C$20:$C$28,$B$4,$B$6,$B$7),1,29)</f>
      </c>
      <c r="AI59" s="5">
        <f>INDEX(CEA_DETONATION_SOLVE($A$10:$D$12,D59,E59,C59,,,,,$B$5,,,$A$20:$A$51,$C$20:$C$28,$B$4,$B$6,$B$7),1,30)</f>
      </c>
      <c r="AJ59" s="5">
        <f>INDEX(CEA_DETONATION_SOLVE($A$10:$D$12,D59,E59,C59,,,,,$B$5,,,$A$20:$A$51,$C$20:$C$28,$B$4,$B$6,$B$7),1,31)</f>
      </c>
      <c r="AK59" s="5">
        <f>INDEX(CEA_DETONATION_SOLVE($A$10:$D$12,D59,E59,C59,,,,,$B$5,,,$A$20:$A$51,$C$20:$C$28,$B$4,$B$6,$B$7),1,32)</f>
      </c>
      <c r="AL59" s="5">
        <f>INDEX(CEA_DETONATION_SOLVE($A$10:$D$12,D59,E59,C59,,,,,$B$5,,,$A$20:$A$51,$C$20:$C$28,$B$4,$B$6,$B$7),1,33)</f>
      </c>
      <c r="AM59" s="5">
        <f>INDEX(CEA_DETONATION_SOLVE($A$10:$D$12,D59,E59,C59,,,,,$B$5,,,$A$20:$A$51,$C$20:$C$28,$B$4,$B$6,$B$7),1,34)</f>
      </c>
      <c r="AN59" s="5">
        <f>INDEX(CEA_DETONATION_SOLVE($A$10:$D$12,D59,E59,C59,,,,,$B$5,,,$A$20:$A$51,$C$20:$C$28,$B$4,$B$6,$B$7),1,35)</f>
      </c>
      <c r="AO59" s="5">
        <f>INDEX(CEA_DETONATION_SOLVE($A$10:$D$12,D59,E59,C59,,,,,$B$5,,,$A$20:$A$51,$C$20:$C$28,$B$4,$B$6,$B$7),1,36)</f>
      </c>
      <c r="AP59" s="5">
        <f>INDEX(CEA_DETONATION_SOLVE($A$10:$D$12,D59,E59,C59,,,,,$B$5,,,$A$20:$A$51,$C$20:$C$28,$B$4,$B$6,$B$7),1,37)</f>
      </c>
      <c r="AQ59" s="5">
        <f>INDEX(CEA_DETONATION_SOLVE($A$10:$D$12,D59,E59,C59,,,,,$B$5,,,$A$20:$A$51,$C$20:$C$28,$B$4,$B$6,$B$7),1,38)</f>
      </c>
      <c r="AR59" s="5">
        <f>INDEX(CEA_DETONATION_SOLVE($A$10:$D$12,D59,E59,C59,,,,,$B$5,,,$A$20:$A$51,$C$20:$C$28,$B$4,$B$6,$B$7),1,39)</f>
      </c>
      <c r="AS59" s="5">
        <f>INDEX(CEA_DETONATION_SOLVE($A$10:$D$12,D59,E59,C59,,,,,$B$5,,,$A$20:$A$51,$C$20:$C$28,$B$4,$B$6,$B$7),1,40)</f>
      </c>
      <c r="AT59" s="5">
        <f>INDEX(CEA_DETONATION_SOLVE($A$10:$D$12,D59,E59,C59,,,,,$B$5,,,$A$20:$A$51,$C$20:$C$28,$B$4,$B$6,$B$7),1,41)</f>
      </c>
      <c r="AU59" s="5">
        <f>INDEX(CEA_DETONATION_SOLVE($A$10:$D$12,D59,E59,C59,,,,,$B$5,,,$A$20:$A$51,$C$20:$C$28,$B$4,$B$6,$B$7),1,42)</f>
      </c>
      <c r="AV59" s="5">
        <f>INDEX(CEA_DETONATION_SOLVE($A$10:$D$12,D59,E59,C59,,,,,$B$5,,,$A$20:$A$51,$C$20:$C$28,$B$4,$B$6,$B$7),1,43)</f>
      </c>
      <c r="AW59" s="5">
        <f>INDEX(CEA_DETONATION_SOLVE($A$10:$D$12,D59,E59,C59,,,,,$B$5,,,$A$20:$A$51,$C$20:$C$28,$B$4,$B$6,$B$7),1,44)</f>
      </c>
      <c r="AX59" s="5">
        <f>INDEX(CEA_DETONATION_SOLVE($A$10:$D$12,D59,E59,C59,,,,,$B$5,,,$A$20:$A$51,$C$20:$C$28,$B$4,$B$6,$B$7),1,45)</f>
      </c>
      <c r="AY59" s="5">
        <f>INDEX(CEA_DETONATION_SOLVE($A$10:$D$12,D59,E59,C59,,,,,$B$5,,,$A$20:$A$51,$C$20:$C$28,$B$4,$B$6,$B$7),1,46)</f>
      </c>
      <c r="AZ59" s="5">
        <f>INDEX(CEA_DETONATION_SOLVE($A$10:$D$12,D59,E59,C59,,,,,$B$5,,,$A$20:$A$51,$C$20:$C$28,$B$4,$B$6,$B$7),1,47)</f>
      </c>
      <c r="BA59" s="5">
        <f>INDEX(CEA_DETONATION_SOLVE($A$10:$D$12,D59,E59,C59,,,,,$B$5,,,$A$20:$A$51,$C$20:$C$28,$B$4,$B$6,$B$7),1,48)</f>
      </c>
      <c r="BB59" s="5">
        <f>INDEX(CEA_DETONATION_SOLVE($A$10:$D$12,D59,E59,C59,,,,,$B$5,,,$A$20:$A$51,$C$20:$C$28,$B$4,$B$6,$B$7),1,49)</f>
      </c>
      <c r="BC59" s="5">
        <f>INDEX(CEA_DETONATION_SOLVE($A$10:$D$12,D59,E59,C59,,,,,$B$5,,,$A$20:$A$51,$C$20:$C$28,$B$4,$B$6,$B$7),1,50)</f>
      </c>
      <c r="BD59" s="5">
        <f>INDEX(CEA_DETONATION_SOLVE($A$10:$D$12,D59,E59,C59,,,,,$B$5,,,$A$20:$A$51,$C$20:$C$28,$B$4,$B$6,$B$7),1,51)</f>
      </c>
      <c r="BE59" s="5">
        <f>INDEX(CEA_DETONATION_SOLVE($A$10:$D$12,D59,E59,C59,,,,,$B$5,,,$A$20:$A$51,$C$20:$C$28,$B$4,$B$6,$B$7),1,52)</f>
      </c>
      <c r="BF59" s="5">
        <f>INDEX(CEA_DETONATION_SOLVE($A$10:$D$12,D59,E59,C59,,,,,$B$5,,,$A$20:$A$51,$C$20:$C$28,$B$4,$B$6,$B$7),1,53)</f>
      </c>
    </row>
    <row r="60" spans="1:58" x14ac:dyDescent="0.2">
      <c r="A60" s="9">
        <v>4</v>
      </c>
      <c r="B60" s="5">
        <f>$B$15</f>
      </c>
      <c r="C60" s="5">
        <f>$B$16</f>
      </c>
      <c r="D60" s="4">
        <v>500.0</v>
      </c>
      <c r="E60" s="4">
        <v>20.0</v>
      </c>
      <c r="F60" s="5">
        <f>INDEX(CEA_DETONATION_SOLVE($A$10:$D$12,D60,E60,C60,,,,,$B$5,,,$A$20:$A$51,$C$20:$C$28,$B$4,$B$6,$B$7),1,1)</f>
      </c>
      <c r="G60" s="5">
        <f>INDEX(CEA_DETONATION_SOLVE($A$10:$D$12,D60,E60,C60,,,,,$B$5,,,$A$20:$A$51,$C$20:$C$28,$B$4,$B$6,$B$7),1,2)</f>
      </c>
      <c r="H60" s="5">
        <f>INDEX(CEA_DETONATION_SOLVE($A$10:$D$12,D60,E60,C60,,,,,$B$5,,,$A$20:$A$51,$C$20:$C$28,$B$4,$B$6,$B$7),1,3)</f>
      </c>
      <c r="I60" s="5">
        <f>INDEX(CEA_DETONATION_SOLVE($A$10:$D$12,D60,E60,C60,,,,,$B$5,,,$A$20:$A$51,$C$20:$C$28,$B$4,$B$6,$B$7),1,4)</f>
      </c>
      <c r="J60" s="5">
        <f>INDEX(CEA_DETONATION_SOLVE($A$10:$D$12,D60,E60,C60,,,,,$B$5,,,$A$20:$A$51,$C$20:$C$28,$B$4,$B$6,$B$7),1,5)</f>
      </c>
      <c r="K60" s="5">
        <f>INDEX(CEA_DETONATION_SOLVE($A$10:$D$12,D60,E60,C60,,,,,$B$5,,,$A$20:$A$51,$C$20:$C$28,$B$4,$B$6,$B$7),1,6)</f>
      </c>
      <c r="L60" s="5">
        <f>INDEX(CEA_DETONATION_SOLVE($A$10:$D$12,D60,E60,C60,,,,,$B$5,,,$A$20:$A$51,$C$20:$C$28,$B$4,$B$6,$B$7),1,7)</f>
      </c>
      <c r="M60" s="5">
        <f>INDEX(CEA_DETONATION_SOLVE($A$10:$D$12,D60,E60,C60,,,,,$B$5,,,$A$20:$A$51,$C$20:$C$28,$B$4,$B$6,$B$7),1,8)</f>
      </c>
      <c r="N60" s="5">
        <f>INDEX(CEA_DETONATION_SOLVE($A$10:$D$12,D60,E60,C60,,,,,$B$5,,,$A$20:$A$51,$C$20:$C$28,$B$4,$B$6,$B$7),1,9)</f>
      </c>
      <c r="O60" s="5">
        <f>INDEX(CEA_DETONATION_SOLVE($A$10:$D$12,D60,E60,C60,,,,,$B$5,,,$A$20:$A$51,$C$20:$C$28,$B$4,$B$6,$B$7),1,10)</f>
      </c>
      <c r="P60" s="5">
        <f>INDEX(CEA_DETONATION_SOLVE($A$10:$D$12,D60,E60,C60,,,,,$B$5,,,$A$20:$A$51,$C$20:$C$28,$B$4,$B$6,$B$7),1,11)</f>
      </c>
      <c r="Q60" s="5">
        <f>INDEX(CEA_DETONATION_SOLVE($A$10:$D$12,D60,E60,C60,,,,,$B$5,,,$A$20:$A$51,$C$20:$C$28,$B$4,$B$6,$B$7),1,12)</f>
      </c>
      <c r="R60" s="5">
        <f>INDEX(CEA_DETONATION_SOLVE($A$10:$D$12,D60,E60,C60,,,,,$B$5,,,$A$20:$A$51,$C$20:$C$28,$B$4,$B$6,$B$7),1,13)</f>
      </c>
      <c r="S60" s="5">
        <f>INDEX(CEA_DETONATION_SOLVE($A$10:$D$12,D60,E60,C60,,,,,$B$5,,,$A$20:$A$51,$C$20:$C$28,$B$4,$B$6,$B$7),1,14)</f>
      </c>
      <c r="T60" s="5">
        <f>INDEX(CEA_DETONATION_SOLVE($A$10:$D$12,D60,E60,C60,,,,,$B$5,,,$A$20:$A$51,$C$20:$C$28,$B$4,$B$6,$B$7),1,15)</f>
      </c>
      <c r="U60" s="5">
        <f>INDEX(CEA_DETONATION_SOLVE($A$10:$D$12,D60,E60,C60,,,,,$B$5,,,$A$20:$A$51,$C$20:$C$28,$B$4,$B$6,$B$7),1,16)</f>
      </c>
      <c r="V60" s="5">
        <f>INDEX(CEA_DETONATION_SOLVE($A$10:$D$12,D60,E60,C60,,,,,$B$5,,,$A$20:$A$51,$C$20:$C$28,$B$4,$B$6,$B$7),1,17)</f>
      </c>
      <c r="W60" s="5">
        <f>INDEX(CEA_DETONATION_SOLVE($A$10:$D$12,D60,E60,C60,,,,,$B$5,,,$A$20:$A$51,$C$20:$C$28,$B$4,$B$6,$B$7),1,18)</f>
      </c>
      <c r="X60" s="5">
        <f>INDEX(CEA_DETONATION_SOLVE($A$10:$D$12,D60,E60,C60,,,,,$B$5,,,$A$20:$A$51,$C$20:$C$28,$B$4,$B$6,$B$7),1,19)</f>
      </c>
      <c r="Y60" s="5">
        <f>INDEX(CEA_DETONATION_SOLVE($A$10:$D$12,D60,E60,C60,,,,,$B$5,,,$A$20:$A$51,$C$20:$C$28,$B$4,$B$6,$B$7),1,20)</f>
      </c>
      <c r="Z60" s="5">
        <f>INDEX(CEA_DETONATION_SOLVE($A$10:$D$12,D60,E60,C60,,,,,$B$5,,,$A$20:$A$51,$C$20:$C$28,$B$4,$B$6,$B$7),1,21)</f>
      </c>
      <c r="AA60" s="5">
        <f>INDEX(CEA_DETONATION_SOLVE($A$10:$D$12,D60,E60,C60,,,,,$B$5,,,$A$20:$A$51,$C$20:$C$28,$B$4,$B$6,$B$7),1,22)</f>
      </c>
      <c r="AB60" s="5">
        <f>INDEX(CEA_DETONATION_SOLVE($A$10:$D$12,D60,E60,C60,,,,,$B$5,,,$A$20:$A$51,$C$20:$C$28,$B$4,$B$6,$B$7),1,23)</f>
      </c>
      <c r="AC60" s="5">
        <f>INDEX(CEA_DETONATION_SOLVE($A$10:$D$12,D60,E60,C60,,,,,$B$5,,,$A$20:$A$51,$C$20:$C$28,$B$4,$B$6,$B$7),1,24)</f>
      </c>
      <c r="AD60" s="5">
        <f>INDEX(CEA_DETONATION_SOLVE($A$10:$D$12,D60,E60,C60,,,,,$B$5,,,$A$20:$A$51,$C$20:$C$28,$B$4,$B$6,$B$7),1,25)</f>
      </c>
      <c r="AE60" s="5">
        <f>INDEX(CEA_DETONATION_SOLVE($A$10:$D$12,D60,E60,C60,,,,,$B$5,,,$A$20:$A$51,$C$20:$C$28,$B$4,$B$6,$B$7),1,26)</f>
      </c>
      <c r="AF60" s="5">
        <f>INDEX(CEA_DETONATION_SOLVE($A$10:$D$12,D60,E60,C60,,,,,$B$5,,,$A$20:$A$51,$C$20:$C$28,$B$4,$B$6,$B$7),1,27)</f>
      </c>
      <c r="AG60" s="5">
        <f>INDEX(CEA_DETONATION_SOLVE($A$10:$D$12,D60,E60,C60,,,,,$B$5,,,$A$20:$A$51,$C$20:$C$28,$B$4,$B$6,$B$7),1,28)</f>
      </c>
      <c r="AH60" s="5">
        <f>INDEX(CEA_DETONATION_SOLVE($A$10:$D$12,D60,E60,C60,,,,,$B$5,,,$A$20:$A$51,$C$20:$C$28,$B$4,$B$6,$B$7),1,29)</f>
      </c>
      <c r="AI60" s="5">
        <f>INDEX(CEA_DETONATION_SOLVE($A$10:$D$12,D60,E60,C60,,,,,$B$5,,,$A$20:$A$51,$C$20:$C$28,$B$4,$B$6,$B$7),1,30)</f>
      </c>
      <c r="AJ60" s="5">
        <f>INDEX(CEA_DETONATION_SOLVE($A$10:$D$12,D60,E60,C60,,,,,$B$5,,,$A$20:$A$51,$C$20:$C$28,$B$4,$B$6,$B$7),1,31)</f>
      </c>
      <c r="AK60" s="5">
        <f>INDEX(CEA_DETONATION_SOLVE($A$10:$D$12,D60,E60,C60,,,,,$B$5,,,$A$20:$A$51,$C$20:$C$28,$B$4,$B$6,$B$7),1,32)</f>
      </c>
      <c r="AL60" s="5">
        <f>INDEX(CEA_DETONATION_SOLVE($A$10:$D$12,D60,E60,C60,,,,,$B$5,,,$A$20:$A$51,$C$20:$C$28,$B$4,$B$6,$B$7),1,33)</f>
      </c>
      <c r="AM60" s="5">
        <f>INDEX(CEA_DETONATION_SOLVE($A$10:$D$12,D60,E60,C60,,,,,$B$5,,,$A$20:$A$51,$C$20:$C$28,$B$4,$B$6,$B$7),1,34)</f>
      </c>
      <c r="AN60" s="5">
        <f>INDEX(CEA_DETONATION_SOLVE($A$10:$D$12,D60,E60,C60,,,,,$B$5,,,$A$20:$A$51,$C$20:$C$28,$B$4,$B$6,$B$7),1,35)</f>
      </c>
      <c r="AO60" s="5">
        <f>INDEX(CEA_DETONATION_SOLVE($A$10:$D$12,D60,E60,C60,,,,,$B$5,,,$A$20:$A$51,$C$20:$C$28,$B$4,$B$6,$B$7),1,36)</f>
      </c>
      <c r="AP60" s="5">
        <f>INDEX(CEA_DETONATION_SOLVE($A$10:$D$12,D60,E60,C60,,,,,$B$5,,,$A$20:$A$51,$C$20:$C$28,$B$4,$B$6,$B$7),1,37)</f>
      </c>
      <c r="AQ60" s="5">
        <f>INDEX(CEA_DETONATION_SOLVE($A$10:$D$12,D60,E60,C60,,,,,$B$5,,,$A$20:$A$51,$C$20:$C$28,$B$4,$B$6,$B$7),1,38)</f>
      </c>
      <c r="AR60" s="5">
        <f>INDEX(CEA_DETONATION_SOLVE($A$10:$D$12,D60,E60,C60,,,,,$B$5,,,$A$20:$A$51,$C$20:$C$28,$B$4,$B$6,$B$7),1,39)</f>
      </c>
      <c r="AS60" s="5">
        <f>INDEX(CEA_DETONATION_SOLVE($A$10:$D$12,D60,E60,C60,,,,,$B$5,,,$A$20:$A$51,$C$20:$C$28,$B$4,$B$6,$B$7),1,40)</f>
      </c>
      <c r="AT60" s="5">
        <f>INDEX(CEA_DETONATION_SOLVE($A$10:$D$12,D60,E60,C60,,,,,$B$5,,,$A$20:$A$51,$C$20:$C$28,$B$4,$B$6,$B$7),1,41)</f>
      </c>
      <c r="AU60" s="5">
        <f>INDEX(CEA_DETONATION_SOLVE($A$10:$D$12,D60,E60,C60,,,,,$B$5,,,$A$20:$A$51,$C$20:$C$28,$B$4,$B$6,$B$7),1,42)</f>
      </c>
      <c r="AV60" s="5">
        <f>INDEX(CEA_DETONATION_SOLVE($A$10:$D$12,D60,E60,C60,,,,,$B$5,,,$A$20:$A$51,$C$20:$C$28,$B$4,$B$6,$B$7),1,43)</f>
      </c>
      <c r="AW60" s="5">
        <f>INDEX(CEA_DETONATION_SOLVE($A$10:$D$12,D60,E60,C60,,,,,$B$5,,,$A$20:$A$51,$C$20:$C$28,$B$4,$B$6,$B$7),1,44)</f>
      </c>
      <c r="AX60" s="5">
        <f>INDEX(CEA_DETONATION_SOLVE($A$10:$D$12,D60,E60,C60,,,,,$B$5,,,$A$20:$A$51,$C$20:$C$28,$B$4,$B$6,$B$7),1,45)</f>
      </c>
      <c r="AY60" s="5">
        <f>INDEX(CEA_DETONATION_SOLVE($A$10:$D$12,D60,E60,C60,,,,,$B$5,,,$A$20:$A$51,$C$20:$C$28,$B$4,$B$6,$B$7),1,46)</f>
      </c>
      <c r="AZ60" s="5">
        <f>INDEX(CEA_DETONATION_SOLVE($A$10:$D$12,D60,E60,C60,,,,,$B$5,,,$A$20:$A$51,$C$20:$C$28,$B$4,$B$6,$B$7),1,47)</f>
      </c>
      <c r="BA60" s="5">
        <f>INDEX(CEA_DETONATION_SOLVE($A$10:$D$12,D60,E60,C60,,,,,$B$5,,,$A$20:$A$51,$C$20:$C$28,$B$4,$B$6,$B$7),1,48)</f>
      </c>
      <c r="BB60" s="5">
        <f>INDEX(CEA_DETONATION_SOLVE($A$10:$D$12,D60,E60,C60,,,,,$B$5,,,$A$20:$A$51,$C$20:$C$28,$B$4,$B$6,$B$7),1,49)</f>
      </c>
      <c r="BC60" s="5">
        <f>INDEX(CEA_DETONATION_SOLVE($A$10:$D$12,D60,E60,C60,,,,,$B$5,,,$A$20:$A$51,$C$20:$C$28,$B$4,$B$6,$B$7),1,50)</f>
      </c>
      <c r="BD60" s="5">
        <f>INDEX(CEA_DETONATION_SOLVE($A$10:$D$12,D60,E60,C60,,,,,$B$5,,,$A$20:$A$51,$C$20:$C$28,$B$4,$B$6,$B$7),1,51)</f>
      </c>
      <c r="BE60" s="5">
        <f>INDEX(CEA_DETONATION_SOLVE($A$10:$D$12,D60,E60,C60,,,,,$B$5,,,$A$20:$A$51,$C$20:$C$28,$B$4,$B$6,$B$7),1,52)</f>
      </c>
      <c r="BF60" s="5">
        <f>INDEX(CEA_DETONATION_SOLVE($A$10:$D$12,D60,E60,C60,,,,,$B$5,,,$A$20:$A$51,$C$20:$C$28,$B$4,$B$6,$B$7),1,53)</f>
      </c>
    </row>
  </sheetData>
  <mergeCells count="4">
    <mergeCell ref="A1:H1"/>
    <mergeCell ref="E20:H20"/>
    <mergeCell ref="E21:H21"/>
    <mergeCell ref="E22:H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Equilibrium</vt:lpstr>
      <vt:lpstr>Rocket</vt:lpstr>
      <vt:lpstr>Shock</vt:lpstr>
      <vt:lpstr>Detonation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Leader, Mark K. (GRC-LTA0)</dc:creator>
  <cp:lastModifiedBy>Leader, Mark K. (GRC-LTA0)</cp:lastModifiedBy>
  <dcterms:created xsi:type="dcterms:W3CDTF">2026-05-13T13:20:12Z</dcterms:created>
  <dcterms:modified xsi:type="dcterms:W3CDTF">2026-06-05T15:23:29Z</dcterms:modified>
</cp:coreProperties>
</file>