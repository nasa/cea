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leader/git/cea/source/bind/excel/"/>
    </mc:Choice>
  </mc:AlternateContent>
  <xr:revisionPtr revIDLastSave="0" documentId="13_ncr:1_{088FC34C-94B3-E042-9447-5F832583DA82}" xr6:coauthVersionLast="47" xr6:coauthVersionMax="47" xr10:uidLastSave="{00000000-0000-0000-0000-000000000000}"/>
  <bookViews>
    <workbookView xWindow="20" yWindow="660" windowWidth="34560" windowHeight="19880" activeTab="1" xr2:uid="{6DDA0175-8551-0843-8446-83CA4716134A}"/>
  </bookViews>
  <sheets>
    <sheet name="README" sheetId="1" r:id="rId1"/>
    <sheet name="Equilibrium" sheetId="2" r:id="rId2"/>
    <sheet name="Rocket" sheetId="3" r:id="rId3"/>
    <sheet name="Shock" sheetId="4" r:id="rId4"/>
    <sheet name="Detonation" sheetId="5" r:id="rId5"/>
  </sheets>
  <functionGroups builtInGroupCount="19"/>
  <calcPr calcId="181029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<sst xmlns="http://schemas.openxmlformats.org/spreadsheetml/2006/main" count="1" uniqueCount="1">
  <si>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problem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</si>
</sst>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E+00"/>
  </numFmts>
  <fonts count="5" x14ac:knownFonts="1">
    <font>
      <sz val="12"/>
      <color theme="1"/>
      <name val="Aptos Narrow"/>
      <family val="2"/>
      <scheme val="minor"/>
    </font>
    <font>
      <b/>
      <sz val="14"/>
      <color rgb="FFFFFFFF"/>
      <name val="Aptos Narrow"/>
    </font>
    <font>
      <b/>
      <sz val="12"/>
      <color rgb="FFFFFFFF"/>
      <name val="Aptos Narrow"/>
    </font>
    <font>
      <b/>
      <sz val="12"/>
      <color rgb="FF000000"/>
      <name val="Aptos Narrow"/>
    </font>
    <font>
      <i/>
      <sz val="11"/>
      <color rgb="FF4B5563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</fills>
  <borders count="2">
    <border>
      <left/>
      <right/>
      <top/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4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127000</xdr:rowOff>
        </xdr:from>
        <xdr:to>
          <xdr:col>6</xdr:col>
          <xdr:colOff>508000</xdr:colOff>
          <xdr:row>3</xdr:row>
          <xdr:rowOff>50800</xdr:rowOff>
        </xdr:to>
        <xdr:sp macro="" textlink="">
          <xdr:nvSpPr>
            <xdr:cNvPr id="1025" name="Button 1" descr="Initialize version number and load librar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G11"/>
  <sheetViews>
    <sheetView workbookViewId="0"/>
  </sheetViews>
  <sheetFormatPr baseColWidth="10" defaultRowHeight="16" x14ac:dyDescent="0.2"/>
  <cols>
    <col min="1" max="1" width="28" customWidth="1"/>
    <col min="2" max="2" width="24" customWidth="1"/>
    <col min="3" max="3" width="3" customWidth="1"/>
    <col min="4" max="4" width="24" customWidth="1"/>
    <col min="5" max="5" width="28" customWidth="1"/>
    <col min="6" max="6" width="13" customWidth="1"/>
    <col min="7" max="7" width="13" customWidth="1"/>
  </cols>
  <sheetData>
    <row r="1" spans="1:1" x14ac:dyDescent="0.2">
      <c r="A1" t="inlineStr" s="1">
        <is>
          <t>CEA Excel wrapper smoke test</t>
        </is>
      </c>
    </row>
    <row r="2" spans="1:5" x14ac:dyDescent="0.2">
      <c r="A2" t="inlineStr" s="3">
        <is>
          <t>Detected CEA version:</t>
        </is>
      </c>
      <c r="B2" t="inlineStr" s="4">
        <is>
          <t>Click init button</t>
        </is>
      </c>
      <c r="D2" t="inlineStr" s="3">
        <is>
          <t>Live CEA_VERSION():</t>
        </is>
      </c>
      <c r="E2" s="5">
        <f>CEA_VERSION()</f>
      </c>
    </row>
    <row r="3" spans="1:5" x14ac:dyDescent="0.2">
      <c r="A3" t="inlineStr" s="3">
        <is>
          <t>Status:</t>
        </is>
      </c>
      <c r="B3" t="inlineStr" s="4">
        <is>
          <t/>
        </is>
      </c>
      <c r="D3" t="inlineStr" s="3">
        <is>
          <t>CEA_LAST_ERROR():</t>
        </is>
      </c>
      <c r="E3" s="5">
        <f>CEA_LAST_ERROR()</f>
      </c>
    </row>
    <row r="5" spans="1:2" x14ac:dyDescent="0.2">
      <c r="A5" t="inlineStr" s="3">
        <is>
          <t>cea_excel_test_add(2, 3):</t>
        </is>
      </c>
      <c r="B5" t="inlineStr" s="4">
        <is>
          <t/>
        </is>
      </c>
    </row>
    <row r="6" spans="1:1" x14ac:dyDescent="0.2">
      <c r="A6" t="inlineStr" s="2">
        <is>
          <t>Setup note</t>
        </is>
      </c>
    </row>
    <row r="7" spans="1:1" x14ac:dyDescent="0.2">
      <c r="A7" t="inlineStr" s="6">
        <is>
          <t>Build cea_excel.dll and place it beside this workbook, or under lib/, lib/Release/, or Release/. Keep native DLL dependencies in the same folder.</t>
        </is>
      </c>
    </row>
    <row r="8" spans="1:1" x14ac:dyDescent="0.2">
      <c r="A8" t="inlineStr" s="6">
        <is>
          <t>The Excel wrapper initializes the native CEA library through version/solve calls. This first-pass workbook does not add separate thermo.lib or trans.lib import controls.</t>
        </is>
      </c>
    </row>
    <row r="10" spans="1:1" x14ac:dyDescent="0.2">
      <c r="A10" t="inlineStr" s="2">
        <is>
          <t>Supported runtime</t>
        </is>
      </c>
    </row>
    <row r="11" spans="1:1" x14ac:dyDescent="0.2">
      <c r="A11" t="inlineStr" s="6">
        <is>
          <t>64-bit Windows Excel/VBA. macOS Excel is intentionally not supported by this workbook.</t>
        </is>
      </c>
    </row>
  </sheetData>
  <mergeCells count="3">
    <mergeCell ref="A7:G7"/>
    <mergeCell ref="A8:G8"/>
    <mergeCell ref="A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riteCEAVersionToReadme" altText="Initialize version number and load libraries">
                <anchor moveWithCells="1" sizeWithCells="1">
                  <from>
                    <xdr:col>5</xdr:col>
                    <xdr:colOff>127000</xdr:colOff>
                    <xdr:row>1</xdr:row>
                    <xdr:rowOff>127000</xdr:rowOff>
                  </from>
                  <to>
                    <xdr:col>6</xdr:col>
                    <xdr:colOff>508000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J47"/>
  <sheetViews>
    <sheetView workbookViewId="0">
      <pane xSplit="0" ySplit="35" topLeftCell="A36" activePane="bottomRight" state="frozen"/>
      <selection pane="bottomRight"/>
    </sheetView>
  </sheetViews>
  <sheetFormatPr baseColWidth="10" defaultRowHeight="16" x14ac:dyDescent="0.2"/>
  <cols>
    <col min="1" max="1" width="16" customWidth="1"/>
    <col min="2" max="2" width="12" customWidth="1"/>
    <col min="3" max="3" width="14" customWidth="1"/>
    <col min="4" max="4" width="11" customWidth="1"/>
    <col min="5" max="5" width="11" customWidth="1"/>
    <col min="6" max="6" width="12" customWidth="1"/>
    <col min="7" max="7" width="11" customWidth="1"/>
    <col min="8" max="8" width="12" customWidth="1"/>
    <col min="9" max="9" width="22" customWidth="1"/>
    <col min="10" max="10" width="14" customWidth="1"/>
    <col min="11" max="11" width="14" customWidth="1"/>
    <col min="12" max="12" width="14" customWidth="1"/>
    <col min="13" max="13" width="14" customWidth="1"/>
    <col min="14" max="14" width="14" customWidth="1"/>
    <col min="15" max="15" width="14" customWidth="1"/>
    <col min="16" max="16" width="14" customWidth="1"/>
    <col min="17" max="17" width="14" customWidth="1"/>
    <col min="18" max="18" width="14" customWidth="1"/>
    <col min="19" max="19" width="14" customWidth="1"/>
    <col min="20" max="20" width="14" customWidth="1"/>
    <col min="21" max="21" width="14" customWidth="1"/>
    <col min="22" max="22" width="14" customWidth="1"/>
    <col min="23" max="23" width="14" customWidth="1"/>
    <col min="24" max="24" width="14" customWidth="1"/>
    <col min="25" max="25" width="14" customWidth="1"/>
    <col min="26" max="26" width="14" customWidth="1"/>
    <col min="27" max="27" width="14" customWidth="1"/>
    <col min="28" max="28" width="14" customWidth="1"/>
    <col min="29" max="29" width="14" customWidth="1"/>
    <col min="30" max="30" width="14" customWidth="1"/>
    <col min="31" max="31" width="14" customWidth="1"/>
    <col min="32" max="32" width="14" customWidth="1"/>
    <col min="33" max="33" width="14" customWidth="1"/>
    <col min="34" max="34" width="14" customWidth="1"/>
    <col min="35" max="35" width="14" customWidth="1"/>
    <col min="36" max="36" width="14" customWidth="1"/>
    <col min="37" max="37" width="14" customWidth="1"/>
    <col min="38" max="38" width="14" customWidth="1"/>
    <col min="39" max="39" width="14" customWidth="1"/>
    <col min="40" max="40" width="14" customWidth="1"/>
    <col min="41" max="41" width="14" customWidth="1"/>
    <col min="42" max="42" width="14" customWidth="1"/>
    <col min="43" max="43" width="14" customWidth="1"/>
    <col min="44" max="44" width="14" customWidth="1"/>
    <col min="45" max="45" width="14" customWidth="1"/>
    <col min="46" max="46" width="14" customWidth="1"/>
    <col min="47" max="47" width="14" customWidth="1"/>
    <col min="48" max="48" width="14" customWidth="1"/>
    <col min="49" max="49" width="14" customWidth="1"/>
    <col min="50" max="50" width="14" customWidth="1"/>
    <col min="51" max="51" width="14" customWidth="1"/>
    <col min="52" max="52" width="14" customWidth="1"/>
    <col min="53" max="53" width="14" customWidth="1"/>
    <col min="54" max="54" width="14" customWidth="1"/>
    <col min="55" max="55" width="14" customWidth="1"/>
    <col min="56" max="56" width="14" customWidth="1"/>
    <col min="57" max="57" width="14" customWidth="1"/>
    <col min="58" max="58" width="14" customWidth="1"/>
    <col min="59" max="59" width="14" customWidth="1"/>
    <col min="60" max="60" width="14" customWidth="1"/>
    <col min="61" max="61" width="14" customWidth="1"/>
    <col min="62" max="62" width="14" customWidth="1"/>
    <col min="63" max="63" width="14" customWidth="1"/>
    <col min="64" max="64" width="14" customWidth="1"/>
    <col min="65" max="65" width="14" customWidth="1"/>
  </cols>
  <sheetData>
    <row r="1" spans="1:2" x14ac:dyDescent="0.2">
      <c r="A1" t="inlineStr" s="3">
        <is>
          <t>problem type</t>
        </is>
      </c>
      <c r="B1" t="inlineStr" s="4">
        <is>
          <t>TP</t>
        </is>
      </c>
    </row>
    <row r="2" spans="1:2" x14ac:dyDescent="0.2">
      <c r="A2" t="inlineStr" s="3">
        <is>
          <t>reference</t>
        </is>
      </c>
      <c r="B2" t="inlineStr" s="6">
        <is>
          <t>RP-1311 Example 1: H2/Air TP equilibrium</t>
        </is>
      </c>
    </row>
    <row r="3" spans="1:2" x14ac:dyDescent="0.2">
      <c r="A3" t="inlineStr" s="3">
        <is>
          <t>transport</t>
        </is>
      </c>
      <c r="B3" t="b" s="4">
        <v>0</v>
      </c>
    </row>
    <row r="4" spans="1:2" x14ac:dyDescent="0.2">
      <c r="A4" t="inlineStr" s="3">
        <is>
          <t>ions</t>
        </is>
      </c>
      <c r="B4" t="b" s="4">
        <v>0</v>
      </c>
    </row>
    <row r="5" spans="1:2" x14ac:dyDescent="0.2">
      <c r="A5" t="inlineStr" s="3">
        <is>
          <t>include_headers</t>
        </is>
      </c>
      <c r="B5" t="b" s="4">
        <v>0</v>
      </c>
    </row>
    <row r="6" spans="1:6" x14ac:dyDescent="0.2">
      <c r="A6" t="inlineStr" s="2">
        <is>
          <t>Reactants</t>
        </is>
      </c>
      <c r="F6" t="inlineStr" s="2">
        <is>
          <t>Fixed fuel/oxidizer composition</t>
        </is>
      </c>
    </row>
    <row r="7" spans="1:8" x14ac:dyDescent="0.2">
      <c r="A7" t="inlineStr" s="3">
        <is>
          <t>name</t>
        </is>
      </c>
      <c r="B7" t="inlineStr" s="3">
        <is>
          <t>role</t>
        </is>
      </c>
      <c r="C7" t="inlineStr" s="3">
        <is>
          <t>base_amount</t>
        </is>
      </c>
      <c r="D7" t="inlineStr" s="3">
        <is>
          <t>basis</t>
        </is>
      </c>
      <c r="F7" t="inlineStr" s="3">
        <is>
          <t>group</t>
        </is>
      </c>
      <c r="G7" t="inlineStr" s="3">
        <is>
          <t>base amount</t>
        </is>
      </c>
      <c r="H7" t="inlineStr" s="3">
        <is>
          <t>base weight</t>
        </is>
      </c>
    </row>
    <row r="8" spans="1:8" x14ac:dyDescent="0.2">
      <c r="A8" t="inlineStr" s="4">
        <is>
          <t>H2</t>
        </is>
      </c>
      <c r="B8" t="inlineStr" s="4">
        <is>
          <t>fuel</t>
        </is>
      </c>
      <c r="C8" s="4">
        <v>1.0</v>
      </c>
      <c r="D8" t="inlineStr" s="4">
        <is>
          <t>mole</t>
        </is>
      </c>
      <c r="F8" t="inlineStr" s="4">
        <is>
          <t>fuel</t>
        </is>
      </c>
      <c r="G8" s="5">
        <f>SUMIF($B$8:$B$9,F8,$C$8:$C$9)</f>
      </c>
      <c r="H8" s="5">
        <f>INDEX(CEA_WEIGHTS_FROM_MOLES($A$7:$D$9,$C$8:$C$9),1,1)</f>
      </c>
    </row>
    <row r="9" spans="1:8" x14ac:dyDescent="0.2">
      <c r="A9" t="inlineStr" s="4">
        <is>
          <t>Air</t>
        </is>
      </c>
      <c r="B9" t="inlineStr" s="4">
        <is>
          <t>oxidizer</t>
        </is>
      </c>
      <c r="C9" s="4">
        <v>1.0</v>
      </c>
      <c r="D9" t="inlineStr" s="4">
        <is>
          <t>mole</t>
        </is>
      </c>
      <c r="F9" t="inlineStr" s="4">
        <is>
          <t>oxidizer</t>
        </is>
      </c>
      <c r="G9" s="5">
        <f>SUMIF($B$8:$B$9,F9,$C$8:$C$9)</f>
      </c>
      <c r="H9" s="5">
        <f>INDEX(CEA_WEIGHTS_FROM_MOLES($A$7:$D$9,$C$8:$C$9),1,2)</f>
      </c>
    </row>
    <row r="11" spans="1:5" x14ac:dyDescent="0.2">
      <c r="A11" t="inlineStr" s="2">
        <is>
          <t>Requested properties</t>
        </is>
      </c>
      <c r="C11" t="inlineStr" s="2">
        <is>
          <t>Product species</t>
        </is>
      </c>
      <c r="E11" t="inlineStr" s="2">
        <is>
          <t>Notes</t>
        </is>
      </c>
    </row>
    <row r="12" spans="1:5" x14ac:dyDescent="0.2">
      <c r="A12" t="inlineStr" s="4">
        <is>
          <t>density</t>
        </is>
      </c>
      <c r="C12" t="inlineStr" s="4">
        <is>
          <t>Ar</t>
        </is>
      </c>
      <c r="E12" t="inlineStr" s="6">
        <is>
          <t>Sweep rows use equivalence ratio -&gt; O/F helper, pressure conversion to bar, then CEA_TP_SOLVE.</t>
        </is>
      </c>
    </row>
    <row r="13" spans="1:5" x14ac:dyDescent="0.2">
      <c r="A13" t="inlineStr" s="4">
        <is>
          <t>volume</t>
        </is>
      </c>
      <c r="C13" t="inlineStr" s="4">
        <is>
          <t>C</t>
        </is>
      </c>
      <c r="E13" t="inlineStr" s="6">
        <is>
          <t>Edit yellow cells or copy formulas downward for additional sweeps. Reactant names and group composition are global.</t>
        </is>
      </c>
    </row>
    <row r="14" spans="1:5" x14ac:dyDescent="0.2">
      <c r="A14" t="inlineStr" s="4">
        <is>
          <t>enthalpy</t>
        </is>
      </c>
      <c r="C14" t="inlineStr" s="4">
        <is>
          <t>CO</t>
        </is>
      </c>
      <c r="E14" t="inlineStr" s="6">
        <is>
          <t>Solve output spills horizontally from the status column when opened in supported Windows Excel.</t>
        </is>
      </c>
    </row>
    <row r="15" spans="1:3" x14ac:dyDescent="0.2">
      <c r="A15" t="inlineStr" s="4">
        <is>
          <t>energy</t>
        </is>
      </c>
      <c r="C15" t="inlineStr" s="4">
        <is>
          <t>CO2</t>
        </is>
      </c>
    </row>
    <row r="16" spans="1:3" x14ac:dyDescent="0.2">
      <c r="A16" t="inlineStr" s="4">
        <is>
          <t>gibbs_energy</t>
        </is>
      </c>
      <c r="C16" t="inlineStr" s="4">
        <is>
          <t>H</t>
        </is>
      </c>
    </row>
    <row r="17" spans="1:3" x14ac:dyDescent="0.2">
      <c r="A17" t="inlineStr" s="4">
        <is>
          <t>entropy</t>
        </is>
      </c>
      <c r="C17" t="inlineStr" s="4">
        <is>
          <t>H2</t>
        </is>
      </c>
    </row>
    <row r="18" spans="1:3" x14ac:dyDescent="0.2">
      <c r="A18" t="inlineStr" s="4">
        <is>
          <t>M</t>
        </is>
      </c>
      <c r="C18" t="inlineStr" s="4">
        <is>
          <t>H2O</t>
        </is>
      </c>
    </row>
    <row r="19" spans="1:3" x14ac:dyDescent="0.2">
      <c r="A19" t="inlineStr" s="4">
        <is>
          <t>MW</t>
        </is>
      </c>
      <c r="C19" t="inlineStr" s="4">
        <is>
          <t>HNO</t>
        </is>
      </c>
    </row>
    <row r="20" spans="1:3" x14ac:dyDescent="0.2">
      <c r="A20" t="inlineStr" s="4">
        <is>
          <t>gamma_s</t>
        </is>
      </c>
      <c r="C20" t="inlineStr" s="4">
        <is>
          <t>HO2</t>
        </is>
      </c>
    </row>
    <row r="21" spans="1:3" x14ac:dyDescent="0.2">
      <c r="A21" t="inlineStr" s="4">
        <is>
          <t>cp_eq</t>
        </is>
      </c>
      <c r="C21" t="inlineStr" s="4">
        <is>
          <t>HNO2</t>
        </is>
      </c>
    </row>
    <row r="22" spans="1:3" x14ac:dyDescent="0.2">
      <c r="A22" t="inlineStr" s="4">
        <is>
          <t>cp_fr</t>
        </is>
      </c>
      <c r="C22" t="inlineStr" s="4">
        <is>
          <t>HNO3</t>
        </is>
      </c>
    </row>
    <row r="23" spans="1:3" x14ac:dyDescent="0.2">
      <c r="A23" t="inlineStr" s="4">
        <is>
          <t>cv_eq</t>
        </is>
      </c>
      <c r="C23" t="inlineStr" s="4">
        <is>
          <t>N</t>
        </is>
      </c>
    </row>
    <row r="24" spans="1:3" x14ac:dyDescent="0.2">
      <c r="A24" t="inlineStr" s="4">
        <is>
          <t>cv_fr</t>
        </is>
      </c>
      <c r="C24" t="inlineStr" s="4">
        <is>
          <t>NH</t>
        </is>
      </c>
    </row>
    <row r="25" spans="3:3" x14ac:dyDescent="0.2">
      <c r="C25" t="inlineStr" s="4">
        <is>
          <t>NO</t>
        </is>
      </c>
    </row>
    <row r="26" spans="3:3" x14ac:dyDescent="0.2">
      <c r="C26" t="inlineStr" s="4">
        <is>
          <t>N2</t>
        </is>
      </c>
    </row>
    <row r="27" spans="3:3" x14ac:dyDescent="0.2">
      <c r="C27" t="inlineStr" s="4">
        <is>
          <t>N2O3</t>
        </is>
      </c>
    </row>
    <row r="28" spans="3:3" x14ac:dyDescent="0.2">
      <c r="C28" t="inlineStr" s="4">
        <is>
          <t>O</t>
        </is>
      </c>
    </row>
    <row r="29" spans="3:3" x14ac:dyDescent="0.2">
      <c r="C29" t="inlineStr" s="4">
        <is>
          <t>O2</t>
        </is>
      </c>
    </row>
    <row r="30" spans="3:3" x14ac:dyDescent="0.2">
      <c r="C30" t="inlineStr" s="4">
        <is>
          <t>OH</t>
        </is>
      </c>
    </row>
    <row r="31" spans="3:3" x14ac:dyDescent="0.2">
      <c r="C31" t="inlineStr" s="4">
        <is>
          <t>O3</t>
        </is>
      </c>
    </row>
    <row r="35" spans="1:62" x14ac:dyDescent="0.2">
      <c r="A35" t="inlineStr" s="3">
        <is>
          <t>case</t>
        </is>
      </c>
      <c r="B35" t="inlineStr" s="3">
        <is>
          <t>r_eq</t>
        </is>
      </c>
      <c r="C35" t="inlineStr" s="3">
        <is>
          <t>o/f ratio</t>
        </is>
      </c>
      <c r="D35" t="inlineStr" s="3">
        <is>
          <t>T, K</t>
        </is>
      </c>
      <c r="E35" t="inlineStr" s="3">
        <is>
          <t>P, atm</t>
        </is>
      </c>
      <c r="F35" t="inlineStr" s="3">
        <is>
          <t>P, bar</t>
        </is>
      </c>
      <c r="G35" t="inlineStr" s="3">
        <is>
          <t>status</t>
        </is>
      </c>
      <c r="H35" t="inlineStr" s="3">
        <is>
          <t>converged</t>
        </is>
      </c>
      <c r="I35" t="inlineStr" s="3">
        <is>
          <t>message</t>
        </is>
      </c>
      <c r="J35" t="inlineStr" s="3">
        <is>
          <t>density</t>
        </is>
      </c>
      <c r="K35" t="inlineStr" s="3">
        <is>
          <t>volume</t>
        </is>
      </c>
      <c r="L35" t="inlineStr" s="3">
        <is>
          <t>enthalpy</t>
        </is>
      </c>
      <c r="M35" t="inlineStr" s="3">
        <is>
          <t>energy</t>
        </is>
      </c>
      <c r="N35" t="inlineStr" s="3">
        <is>
          <t>gibbs_energy</t>
        </is>
      </c>
      <c r="O35" t="inlineStr" s="3">
        <is>
          <t>entropy</t>
        </is>
      </c>
      <c r="P35" t="inlineStr" s="3">
        <is>
          <t>M</t>
        </is>
      </c>
      <c r="Q35" t="inlineStr" s="3">
        <is>
          <t>MW</t>
        </is>
      </c>
      <c r="R35" t="inlineStr" s="3">
        <is>
          <t>gamma_s</t>
        </is>
      </c>
      <c r="S35" t="inlineStr" s="3">
        <is>
          <t>cp_eq</t>
        </is>
      </c>
      <c r="T35" t="inlineStr" s="3">
        <is>
          <t>cp_fr</t>
        </is>
      </c>
      <c r="U35" t="inlineStr" s="3">
        <is>
          <t>cv_eq</t>
        </is>
      </c>
      <c r="V35" t="inlineStr" s="3">
        <is>
          <t>cv_fr</t>
        </is>
      </c>
      <c r="W35" t="inlineStr" s="3">
        <is>
          <t>mass_Ar</t>
        </is>
      </c>
      <c r="X35" t="inlineStr" s="3">
        <is>
          <t>mole_Ar</t>
        </is>
      </c>
      <c r="Y35" t="inlineStr" s="3">
        <is>
          <t>mass_C</t>
        </is>
      </c>
      <c r="Z35" t="inlineStr" s="3">
        <is>
          <t>mole_C</t>
        </is>
      </c>
      <c r="AA35" t="inlineStr" s="3">
        <is>
          <t>mass_CO</t>
        </is>
      </c>
      <c r="AB35" t="inlineStr" s="3">
        <is>
          <t>mole_CO</t>
        </is>
      </c>
      <c r="AC35" t="inlineStr" s="3">
        <is>
          <t>mass_CO2</t>
        </is>
      </c>
      <c r="AD35" t="inlineStr" s="3">
        <is>
          <t>mole_CO2</t>
        </is>
      </c>
      <c r="AE35" t="inlineStr" s="3">
        <is>
          <t>mass_H</t>
        </is>
      </c>
      <c r="AF35" t="inlineStr" s="3">
        <is>
          <t>mole_H</t>
        </is>
      </c>
      <c r="AG35" t="inlineStr" s="3">
        <is>
          <t>mass_H2</t>
        </is>
      </c>
      <c r="AH35" t="inlineStr" s="3">
        <is>
          <t>mole_H2</t>
        </is>
      </c>
      <c r="AI35" t="inlineStr" s="3">
        <is>
          <t>mass_H2O</t>
        </is>
      </c>
      <c r="AJ35" t="inlineStr" s="3">
        <is>
          <t>mole_H2O</t>
        </is>
      </c>
      <c r="AK35" t="inlineStr" s="3">
        <is>
          <t>mass_HNO</t>
        </is>
      </c>
      <c r="AL35" t="inlineStr" s="3">
        <is>
          <t>mole_HNO</t>
        </is>
      </c>
      <c r="AM35" t="inlineStr" s="3">
        <is>
          <t>mass_HO2</t>
        </is>
      </c>
      <c r="AN35" t="inlineStr" s="3">
        <is>
          <t>mole_HO2</t>
        </is>
      </c>
      <c r="AO35" t="inlineStr" s="3">
        <is>
          <t>mass_HNO2</t>
        </is>
      </c>
      <c r="AP35" t="inlineStr" s="3">
        <is>
          <t>mole_HNO2</t>
        </is>
      </c>
      <c r="AQ35" t="inlineStr" s="3">
        <is>
          <t>mass_HNO3</t>
        </is>
      </c>
      <c r="AR35" t="inlineStr" s="3">
        <is>
          <t>mole_HNO3</t>
        </is>
      </c>
      <c r="AS35" t="inlineStr" s="3">
        <is>
          <t>mass_N</t>
        </is>
      </c>
      <c r="AT35" t="inlineStr" s="3">
        <is>
          <t>mole_N</t>
        </is>
      </c>
      <c r="AU35" t="inlineStr" s="3">
        <is>
          <t>mass_NH</t>
        </is>
      </c>
      <c r="AV35" t="inlineStr" s="3">
        <is>
          <t>mole_NH</t>
        </is>
      </c>
      <c r="AW35" t="inlineStr" s="3">
        <is>
          <t>mass_NO</t>
        </is>
      </c>
      <c r="AX35" t="inlineStr" s="3">
        <is>
          <t>mole_NO</t>
        </is>
      </c>
      <c r="AY35" t="inlineStr" s="3">
        <is>
          <t>mass_N2</t>
        </is>
      </c>
      <c r="AZ35" t="inlineStr" s="3">
        <is>
          <t>mole_N2</t>
        </is>
      </c>
      <c r="BA35" t="inlineStr" s="3">
        <is>
          <t>mass_N2O3</t>
        </is>
      </c>
      <c r="BB35" t="inlineStr" s="3">
        <is>
          <t>mole_N2O3</t>
        </is>
      </c>
      <c r="BC35" t="inlineStr" s="3">
        <is>
          <t>mass_O</t>
        </is>
      </c>
      <c r="BD35" t="inlineStr" s="3">
        <is>
          <t>mole_O</t>
        </is>
      </c>
      <c r="BE35" t="inlineStr" s="3">
        <is>
          <t>mass_O2</t>
        </is>
      </c>
      <c r="BF35" t="inlineStr" s="3">
        <is>
          <t>mole_O2</t>
        </is>
      </c>
      <c r="BG35" t="inlineStr" s="3">
        <is>
          <t>mass_OH</t>
        </is>
      </c>
      <c r="BH35" t="inlineStr" s="3">
        <is>
          <t>mole_OH</t>
        </is>
      </c>
      <c r="BI35" t="inlineStr" s="3">
        <is>
          <t>mass_O3</t>
        </is>
      </c>
      <c r="BJ35" t="inlineStr" s="3">
        <is>
          <t>mole_O3</t>
        </is>
      </c>
    </row>
    <row r="36" spans="1:7" x14ac:dyDescent="0.2">
      <c r="A36" s="9">
        <v>1</v>
      </c>
      <c r="B36" s="4">
        <v>1.0</v>
      </c>
      <c r="C36" s="5">
        <f>CEA_OF_FROM_EQUIVALENCE($A$7:$D$9,B36)</f>
      </c>
      <c r="D36" s="4">
        <v>3000.0</v>
      </c>
      <c r="E36" s="4">
        <v>1.0</v>
      </c>
      <c r="F36" s="5">
        <f>CEA_PRESSURE_SI(E36,"atm")</f>
      </c>
      <c r="G36" s="5">
        <f>CEA_TP_SOLVE($A$7:$D$9,D36,F36,C36,,,,,,$A$12:$A$24,$C$12:$C$31,$B$3,$B$4,$B$5)</f>
      </c>
    </row>
    <row r="37" spans="1:7" x14ac:dyDescent="0.2">
      <c r="A37" s="9">
        <v>2</v>
      </c>
      <c r="B37" s="4">
        <v>1.0</v>
      </c>
      <c r="C37" s="5">
        <f>CEA_OF_FROM_EQUIVALENCE($A$7:$D$9,B37)</f>
      </c>
      <c r="D37" s="4">
        <v>2000.0</v>
      </c>
      <c r="E37" s="4">
        <v>1.0</v>
      </c>
      <c r="F37" s="5">
        <f>CEA_PRESSURE_SI(E37,"atm")</f>
      </c>
      <c r="G37" s="5">
        <f>CEA_TP_SOLVE($A$7:$D$9,D37,F37,C37,,,,,,$A$12:$A$24,$C$12:$C$31,$B$3,$B$4,$B$5)</f>
      </c>
    </row>
    <row r="38" spans="1:7" x14ac:dyDescent="0.2">
      <c r="A38" s="9">
        <v>3</v>
      </c>
      <c r="B38" s="4">
        <v>1.0</v>
      </c>
      <c r="C38" s="5">
        <f>CEA_OF_FROM_EQUIVALENCE($A$7:$D$9,B38)</f>
      </c>
      <c r="D38" s="4">
        <v>3000.0</v>
      </c>
      <c r="E38" s="4">
        <v>0.1</v>
      </c>
      <c r="F38" s="5">
        <f>CEA_PRESSURE_SI(E38,"atm")</f>
      </c>
      <c r="G38" s="5">
        <f>CEA_TP_SOLVE($A$7:$D$9,D38,F38,C38,,,,,,$A$12:$A$24,$C$12:$C$31,$B$3,$B$4,$B$5)</f>
      </c>
    </row>
    <row r="39" spans="1:7" x14ac:dyDescent="0.2">
      <c r="A39" s="9">
        <v>4</v>
      </c>
      <c r="B39" s="4">
        <v>1.0</v>
      </c>
      <c r="C39" s="5">
        <f>CEA_OF_FROM_EQUIVALENCE($A$7:$D$9,B39)</f>
      </c>
      <c r="D39" s="4">
        <v>2000.0</v>
      </c>
      <c r="E39" s="4">
        <v>0.1</v>
      </c>
      <c r="F39" s="5">
        <f>CEA_PRESSURE_SI(E39,"atm")</f>
      </c>
      <c r="G39" s="5">
        <f>CEA_TP_SOLVE($A$7:$D$9,D39,F39,C39,,,,,,$A$12:$A$24,$C$12:$C$31,$B$3,$B$4,$B$5)</f>
      </c>
    </row>
    <row r="40" spans="1:7" x14ac:dyDescent="0.2">
      <c r="A40" s="9">
        <v>5</v>
      </c>
      <c r="B40" s="4">
        <v>1.0</v>
      </c>
      <c r="C40" s="5">
        <f>CEA_OF_FROM_EQUIVALENCE($A$7:$D$9,B40)</f>
      </c>
      <c r="D40" s="4">
        <v>3000.0</v>
      </c>
      <c r="E40" s="4">
        <v>0.01</v>
      </c>
      <c r="F40" s="5">
        <f>CEA_PRESSURE_SI(E40,"atm")</f>
      </c>
      <c r="G40" s="5">
        <f>CEA_TP_SOLVE($A$7:$D$9,D40,F40,C40,,,,,,$A$12:$A$24,$C$12:$C$31,$B$3,$B$4,$B$5)</f>
      </c>
    </row>
    <row r="41" spans="1:7" x14ac:dyDescent="0.2">
      <c r="A41" s="9">
        <v>6</v>
      </c>
      <c r="B41" s="4">
        <v>1.0</v>
      </c>
      <c r="C41" s="5">
        <f>CEA_OF_FROM_EQUIVALENCE($A$7:$D$9,B41)</f>
      </c>
      <c r="D41" s="4">
        <v>2000.0</v>
      </c>
      <c r="E41" s="4">
        <v>0.01</v>
      </c>
      <c r="F41" s="5">
        <f>CEA_PRESSURE_SI(E41,"atm")</f>
      </c>
      <c r="G41" s="5">
        <f>CEA_TP_SOLVE($A$7:$D$9,D41,F41,C41,,,,,,$A$12:$A$24,$C$12:$C$31,$B$3,$B$4,$B$5)</f>
      </c>
    </row>
    <row r="42" spans="1:7" x14ac:dyDescent="0.2">
      <c r="A42" s="9">
        <v>7</v>
      </c>
      <c r="B42" s="4">
        <v>1.5</v>
      </c>
      <c r="C42" s="5">
        <f>CEA_OF_FROM_EQUIVALENCE($A$7:$D$9,B42)</f>
      </c>
      <c r="D42" s="4">
        <v>3000.0</v>
      </c>
      <c r="E42" s="4">
        <v>1.0</v>
      </c>
      <c r="F42" s="5">
        <f>CEA_PRESSURE_SI(E42,"atm")</f>
      </c>
      <c r="G42" s="5">
        <f>CEA_TP_SOLVE($A$7:$D$9,D42,F42,C42,,,,,,$A$12:$A$24,$C$12:$C$31,$B$3,$B$4,$B$5)</f>
      </c>
    </row>
    <row r="43" spans="1:7" x14ac:dyDescent="0.2">
      <c r="A43" s="9">
        <v>8</v>
      </c>
      <c r="B43" s="4">
        <v>1.5</v>
      </c>
      <c r="C43" s="5">
        <f>CEA_OF_FROM_EQUIVALENCE($A$7:$D$9,B43)</f>
      </c>
      <c r="D43" s="4">
        <v>2000.0</v>
      </c>
      <c r="E43" s="4">
        <v>1.0</v>
      </c>
      <c r="F43" s="5">
        <f>CEA_PRESSURE_SI(E43,"atm")</f>
      </c>
      <c r="G43" s="5">
        <f>CEA_TP_SOLVE($A$7:$D$9,D43,F43,C43,,,,,,$A$12:$A$24,$C$12:$C$31,$B$3,$B$4,$B$5)</f>
      </c>
    </row>
    <row r="44" spans="1:7" x14ac:dyDescent="0.2">
      <c r="A44" s="9">
        <v>9</v>
      </c>
      <c r="B44" s="4">
        <v>1.5</v>
      </c>
      <c r="C44" s="5">
        <f>CEA_OF_FROM_EQUIVALENCE($A$7:$D$9,B44)</f>
      </c>
      <c r="D44" s="4">
        <v>3000.0</v>
      </c>
      <c r="E44" s="4">
        <v>0.1</v>
      </c>
      <c r="F44" s="5">
        <f>CEA_PRESSURE_SI(E44,"atm")</f>
      </c>
      <c r="G44" s="5">
        <f>CEA_TP_SOLVE($A$7:$D$9,D44,F44,C44,,,,,,$A$12:$A$24,$C$12:$C$31,$B$3,$B$4,$B$5)</f>
      </c>
    </row>
    <row r="45" spans="1:7" x14ac:dyDescent="0.2">
      <c r="A45" s="9">
        <v>10</v>
      </c>
      <c r="B45" s="4">
        <v>1.5</v>
      </c>
      <c r="C45" s="5">
        <f>CEA_OF_FROM_EQUIVALENCE($A$7:$D$9,B45)</f>
      </c>
      <c r="D45" s="4">
        <v>2000.0</v>
      </c>
      <c r="E45" s="4">
        <v>0.1</v>
      </c>
      <c r="F45" s="5">
        <f>CEA_PRESSURE_SI(E45,"atm")</f>
      </c>
      <c r="G45" s="5">
        <f>CEA_TP_SOLVE($A$7:$D$9,D45,F45,C45,,,,,,$A$12:$A$24,$C$12:$C$31,$B$3,$B$4,$B$5)</f>
      </c>
    </row>
    <row r="46" spans="1:7" x14ac:dyDescent="0.2">
      <c r="A46" s="9">
        <v>11</v>
      </c>
      <c r="B46" s="4">
        <v>1.5</v>
      </c>
      <c r="C46" s="5">
        <f>CEA_OF_FROM_EQUIVALENCE($A$7:$D$9,B46)</f>
      </c>
      <c r="D46" s="4">
        <v>3000.0</v>
      </c>
      <c r="E46" s="4">
        <v>0.01</v>
      </c>
      <c r="F46" s="5">
        <f>CEA_PRESSURE_SI(E46,"atm")</f>
      </c>
      <c r="G46" s="5">
        <f>CEA_TP_SOLVE($A$7:$D$9,D46,F46,C46,,,,,,$A$12:$A$24,$C$12:$C$31,$B$3,$B$4,$B$5)</f>
      </c>
    </row>
    <row r="47" spans="1:7" x14ac:dyDescent="0.2">
      <c r="A47" s="9">
        <v>12</v>
      </c>
      <c r="B47" s="4">
        <v>1.5</v>
      </c>
      <c r="C47" s="5">
        <f>CEA_OF_FROM_EQUIVALENCE($A$7:$D$9,B47)</f>
      </c>
      <c r="D47" s="4">
        <v>2000.0</v>
      </c>
      <c r="E47" s="4">
        <v>0.01</v>
      </c>
      <c r="F47" s="5">
        <f>CEA_PRESSURE_SI(E47,"atm")</f>
      </c>
      <c r="G47" s="5">
        <f>CEA_TP_SOLVE($A$7:$D$9,D47,F47,C47,,,,,,$A$12:$A$24,$C$12:$C$31,$B$3,$B$4,$B$5)</f>
      </c>
    </row>
  </sheetData>
  <mergeCells count="3">
    <mergeCell ref="E12:H12"/>
    <mergeCell ref="E13:H13"/>
    <mergeCell ref="E14:H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ME47"/>
  <sheetViews>
    <sheetView workbookViewId="0">
      <pane xSplit="0" ySplit="46" topLeftCell="A47" activePane="bottomRight" state="frozen"/>
      <selection pane="bottomRight"/>
    </sheetView>
  </sheetViews>
  <sheetFormatPr baseColWidth="10" defaultRowHeight="16" x14ac:dyDescent="0.2"/>
  <cols>
    <col min="1" max="1" width="20" customWidth="1"/>
    <col min="2" max="2" width="14" customWidth="1"/>
    <col min="3" max="3" width="18" customWidth="1"/>
    <col min="4" max="4" width="14" customWidth="1"/>
    <col min="5" max="5" width="14" customWidth="1"/>
    <col min="6" max="6" width="18" customWidth="1"/>
    <col min="7" max="7" width="16" customWidth="1"/>
    <col min="8" max="8" width="12" customWidth="1"/>
    <col min="9" max="9" width="12" customWidth="1"/>
    <col min="10" max="10" width="22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  <col min="150" max="150" width="15" customWidth="1"/>
    <col min="151" max="151" width="15" customWidth="1"/>
    <col min="152" max="152" width="15" customWidth="1"/>
    <col min="153" max="153" width="15" customWidth="1"/>
    <col min="154" max="154" width="15" customWidth="1"/>
    <col min="155" max="155" width="15" customWidth="1"/>
    <col min="156" max="156" width="15" customWidth="1"/>
    <col min="157" max="157" width="15" customWidth="1"/>
    <col min="158" max="158" width="15" customWidth="1"/>
    <col min="159" max="159" width="15" customWidth="1"/>
    <col min="160" max="160" width="15" customWidth="1"/>
    <col min="161" max="161" width="15" customWidth="1"/>
    <col min="162" max="162" width="15" customWidth="1"/>
    <col min="163" max="163" width="15" customWidth="1"/>
    <col min="164" max="164" width="15" customWidth="1"/>
    <col min="165" max="165" width="15" customWidth="1"/>
    <col min="166" max="166" width="15" customWidth="1"/>
    <col min="167" max="167" width="15" customWidth="1"/>
    <col min="168" max="168" width="15" customWidth="1"/>
    <col min="169" max="169" width="15" customWidth="1"/>
    <col min="170" max="170" width="15" customWidth="1"/>
    <col min="171" max="171" width="15" customWidth="1"/>
    <col min="172" max="172" width="15" customWidth="1"/>
    <col min="173" max="173" width="15" customWidth="1"/>
    <col min="174" max="174" width="15" customWidth="1"/>
    <col min="175" max="175" width="15" customWidth="1"/>
    <col min="176" max="176" width="15" customWidth="1"/>
    <col min="177" max="177" width="15" customWidth="1"/>
    <col min="178" max="178" width="15" customWidth="1"/>
    <col min="179" max="179" width="15" customWidth="1"/>
    <col min="180" max="180" width="15" customWidth="1"/>
    <col min="181" max="181" width="15" customWidth="1"/>
    <col min="182" max="182" width="15" customWidth="1"/>
    <col min="183" max="183" width="15" customWidth="1"/>
    <col min="184" max="184" width="15" customWidth="1"/>
    <col min="185" max="185" width="15" customWidth="1"/>
    <col min="186" max="186" width="15" customWidth="1"/>
    <col min="187" max="187" width="15" customWidth="1"/>
    <col min="188" max="188" width="15" customWidth="1"/>
    <col min="189" max="189" width="15" customWidth="1"/>
    <col min="190" max="190" width="15" customWidth="1"/>
    <col min="191" max="191" width="15" customWidth="1"/>
    <col min="192" max="192" width="15" customWidth="1"/>
    <col min="193" max="193" width="15" customWidth="1"/>
    <col min="194" max="194" width="15" customWidth="1"/>
    <col min="195" max="195" width="15" customWidth="1"/>
    <col min="196" max="196" width="15" customWidth="1"/>
    <col min="197" max="197" width="15" customWidth="1"/>
    <col min="198" max="198" width="15" customWidth="1"/>
    <col min="199" max="199" width="15" customWidth="1"/>
    <col min="200" max="200" width="15" customWidth="1"/>
    <col min="201" max="201" width="15" customWidth="1"/>
    <col min="202" max="202" width="15" customWidth="1"/>
    <col min="203" max="203" width="15" customWidth="1"/>
    <col min="204" max="204" width="15" customWidth="1"/>
    <col min="205" max="205" width="15" customWidth="1"/>
    <col min="206" max="206" width="15" customWidth="1"/>
    <col min="207" max="207" width="15" customWidth="1"/>
    <col min="208" max="208" width="15" customWidth="1"/>
    <col min="209" max="209" width="15" customWidth="1"/>
    <col min="210" max="210" width="15" customWidth="1"/>
    <col min="211" max="211" width="15" customWidth="1"/>
    <col min="212" max="212" width="15" customWidth="1"/>
    <col min="213" max="213" width="15" customWidth="1"/>
    <col min="214" max="214" width="15" customWidth="1"/>
    <col min="215" max="215" width="15" customWidth="1"/>
    <col min="216" max="216" width="15" customWidth="1"/>
    <col min="217" max="217" width="15" customWidth="1"/>
    <col min="218" max="218" width="15" customWidth="1"/>
    <col min="219" max="219" width="15" customWidth="1"/>
    <col min="220" max="220" width="15" customWidth="1"/>
    <col min="221" max="221" width="15" customWidth="1"/>
    <col min="222" max="222" width="15" customWidth="1"/>
    <col min="223" max="223" width="15" customWidth="1"/>
    <col min="224" max="224" width="15" customWidth="1"/>
    <col min="225" max="225" width="15" customWidth="1"/>
    <col min="226" max="226" width="15" customWidth="1"/>
    <col min="227" max="227" width="15" customWidth="1"/>
    <col min="228" max="228" width="15" customWidth="1"/>
    <col min="229" max="229" width="15" customWidth="1"/>
    <col min="230" max="230" width="15" customWidth="1"/>
    <col min="231" max="231" width="15" customWidth="1"/>
    <col min="232" max="232" width="15" customWidth="1"/>
    <col min="233" max="233" width="15" customWidth="1"/>
    <col min="234" max="234" width="15" customWidth="1"/>
    <col min="235" max="235" width="15" customWidth="1"/>
    <col min="236" max="236" width="15" customWidth="1"/>
    <col min="237" max="237" width="15" customWidth="1"/>
    <col min="238" max="238" width="15" customWidth="1"/>
    <col min="239" max="239" width="15" customWidth="1"/>
    <col min="240" max="240" width="15" customWidth="1"/>
    <col min="241" max="241" width="15" customWidth="1"/>
    <col min="242" max="242" width="15" customWidth="1"/>
    <col min="243" max="243" width="15" customWidth="1"/>
    <col min="244" max="244" width="15" customWidth="1"/>
    <col min="245" max="245" width="15" customWidth="1"/>
    <col min="246" max="246" width="15" customWidth="1"/>
    <col min="247" max="247" width="15" customWidth="1"/>
    <col min="248" max="248" width="15" customWidth="1"/>
    <col min="249" max="249" width="15" customWidth="1"/>
    <col min="250" max="250" width="15" customWidth="1"/>
    <col min="251" max="251" width="15" customWidth="1"/>
    <col min="252" max="252" width="15" customWidth="1"/>
    <col min="253" max="253" width="15" customWidth="1"/>
    <col min="254" max="254" width="15" customWidth="1"/>
    <col min="255" max="255" width="15" customWidth="1"/>
    <col min="256" max="256" width="15" customWidth="1"/>
    <col min="257" max="257" width="15" customWidth="1"/>
    <col min="258" max="258" width="15" customWidth="1"/>
    <col min="259" max="259" width="15" customWidth="1"/>
    <col min="260" max="260" width="15" customWidth="1"/>
    <col min="261" max="261" width="15" customWidth="1"/>
    <col min="262" max="262" width="15" customWidth="1"/>
    <col min="263" max="263" width="15" customWidth="1"/>
    <col min="264" max="264" width="15" customWidth="1"/>
    <col min="265" max="265" width="15" customWidth="1"/>
    <col min="266" max="266" width="15" customWidth="1"/>
    <col min="267" max="267" width="15" customWidth="1"/>
    <col min="268" max="268" width="15" customWidth="1"/>
    <col min="269" max="269" width="15" customWidth="1"/>
    <col min="270" max="270" width="15" customWidth="1"/>
    <col min="271" max="271" width="15" customWidth="1"/>
    <col min="272" max="272" width="15" customWidth="1"/>
    <col min="273" max="273" width="15" customWidth="1"/>
    <col min="274" max="274" width="15" customWidth="1"/>
    <col min="275" max="275" width="15" customWidth="1"/>
    <col min="276" max="276" width="15" customWidth="1"/>
    <col min="277" max="277" width="15" customWidth="1"/>
    <col min="278" max="278" width="15" customWidth="1"/>
    <col min="279" max="279" width="15" customWidth="1"/>
    <col min="280" max="280" width="15" customWidth="1"/>
    <col min="281" max="281" width="15" customWidth="1"/>
    <col min="282" max="282" width="15" customWidth="1"/>
    <col min="283" max="283" width="15" customWidth="1"/>
    <col min="284" max="284" width="15" customWidth="1"/>
    <col min="285" max="285" width="15" customWidth="1"/>
    <col min="286" max="286" width="15" customWidth="1"/>
    <col min="287" max="287" width="15" customWidth="1"/>
    <col min="288" max="288" width="15" customWidth="1"/>
    <col min="289" max="289" width="15" customWidth="1"/>
    <col min="290" max="290" width="15" customWidth="1"/>
    <col min="291" max="291" width="15" customWidth="1"/>
    <col min="292" max="292" width="15" customWidth="1"/>
    <col min="293" max="293" width="15" customWidth="1"/>
    <col min="294" max="294" width="15" customWidth="1"/>
    <col min="295" max="295" width="15" customWidth="1"/>
    <col min="296" max="296" width="15" customWidth="1"/>
    <col min="297" max="297" width="15" customWidth="1"/>
    <col min="298" max="298" width="15" customWidth="1"/>
    <col min="299" max="299" width="15" customWidth="1"/>
    <col min="300" max="300" width="15" customWidth="1"/>
    <col min="301" max="301" width="15" customWidth="1"/>
    <col min="302" max="302" width="15" customWidth="1"/>
    <col min="303" max="303" width="15" customWidth="1"/>
    <col min="304" max="304" width="15" customWidth="1"/>
    <col min="305" max="305" width="15" customWidth="1"/>
    <col min="306" max="306" width="15" customWidth="1"/>
    <col min="307" max="307" width="15" customWidth="1"/>
    <col min="308" max="308" width="15" customWidth="1"/>
    <col min="309" max="309" width="15" customWidth="1"/>
    <col min="310" max="310" width="15" customWidth="1"/>
    <col min="311" max="311" width="15" customWidth="1"/>
    <col min="312" max="312" width="15" customWidth="1"/>
    <col min="313" max="313" width="15" customWidth="1"/>
    <col min="314" max="314" width="15" customWidth="1"/>
    <col min="315" max="315" width="15" customWidth="1"/>
    <col min="316" max="316" width="15" customWidth="1"/>
    <col min="317" max="317" width="15" customWidth="1"/>
    <col min="318" max="318" width="15" customWidth="1"/>
    <col min="319" max="319" width="15" customWidth="1"/>
    <col min="320" max="320" width="15" customWidth="1"/>
    <col min="321" max="321" width="15" customWidth="1"/>
    <col min="322" max="322" width="15" customWidth="1"/>
    <col min="323" max="323" width="15" customWidth="1"/>
    <col min="324" max="324" width="15" customWidth="1"/>
    <col min="325" max="325" width="15" customWidth="1"/>
    <col min="326" max="326" width="15" customWidth="1"/>
    <col min="327" max="327" width="15" customWidth="1"/>
    <col min="328" max="328" width="15" customWidth="1"/>
    <col min="329" max="329" width="15" customWidth="1"/>
    <col min="330" max="330" width="15" customWidth="1"/>
    <col min="331" max="331" width="15" customWidth="1"/>
    <col min="332" max="332" width="15" customWidth="1"/>
    <col min="333" max="333" width="15" customWidth="1"/>
    <col min="334" max="334" width="15" customWidth="1"/>
    <col min="335" max="335" width="15" customWidth="1"/>
    <col min="336" max="336" width="15" customWidth="1"/>
    <col min="337" max="337" width="15" customWidth="1"/>
    <col min="338" max="338" width="15" customWidth="1"/>
    <col min="339" max="339" width="15" customWidth="1"/>
    <col min="340" max="340" width="15" customWidth="1"/>
    <col min="341" max="341" width="15" customWidth="1"/>
    <col min="342" max="342" width="15" customWidth="1"/>
    <col min="343" max="343" width="15" customWidth="1"/>
  </cols>
  <sheetData>
    <row r="1" spans="1:1" x14ac:dyDescent="0.2">
      <c r="A1" t="inlineStr" s="1">
        <is>
          <t>Rocket</t>
        </is>
      </c>
    </row>
    <row r="2" spans="1:2" x14ac:dyDescent="0.2">
      <c r="A2" t="inlineStr" s="3">
        <is>
          <t>problem type</t>
        </is>
      </c>
      <c r="B2" t="inlineStr" s="4">
        <is>
          <t>IAC Rocket</t>
        </is>
      </c>
    </row>
    <row r="3" spans="1:2" x14ac:dyDescent="0.2">
      <c r="A3" t="inlineStr" s="3">
        <is>
          <t>reference</t>
        </is>
      </c>
      <c r="B3" t="inlineStr" s="6">
        <is>
          <t>RP-1311 Example 8: H2(L)/O2(L) IAC rocket</t>
        </is>
      </c>
    </row>
    <row r="4" spans="1:2" x14ac:dyDescent="0.2">
      <c r="A4" t="inlineStr" s="3">
        <is>
          <t>amount mode</t>
        </is>
      </c>
      <c r="B4" t="inlineStr" s="4">
        <is>
          <t>of_ratio</t>
        </is>
      </c>
    </row>
    <row r="5" spans="1:2" x14ac:dyDescent="0.2">
      <c r="A5" t="inlineStr" s="3">
        <is>
          <t>transport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6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T_reac, K</t>
        </is>
      </c>
      <c r="F10" t="inlineStr" s="3">
        <is>
          <t>computed weight</t>
        </is>
      </c>
    </row>
    <row r="11" spans="1:6" x14ac:dyDescent="0.2">
      <c r="A11" t="inlineStr" s="4">
        <is>
          <t>H2(L)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4">
        <v>20.27</v>
      </c>
      <c r="F11" s="5">
        <f>INDEX(CEA_WEIGHTS_FROM_OF($A$10:$D$12,$B$16),1,1)</f>
      </c>
    </row>
    <row r="12" spans="1:6" x14ac:dyDescent="0.2">
      <c r="A12" t="inlineStr" s="4">
        <is>
          <t>O2(L)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4">
        <v>90.17</v>
      </c>
      <c r="F12" s="5">
        <f>INDEX(CEA_WEIGHTS_FROM_OF($A$10:$D$12,$B$16),1,2)</f>
      </c>
    </row>
    <row r="14" spans="1:4" x14ac:dyDescent="0.2">
      <c r="A14" t="inlineStr" s="2">
        <is>
          <t>Rocket controls</t>
        </is>
      </c>
      <c r="D14" t="inlineStr" s="2">
        <is>
          <t>Schedules</t>
        </is>
      </c>
    </row>
    <row r="15" spans="4:6" x14ac:dyDescent="0.2">
      <c r="D15" t="inlineStr" s="3">
        <is>
          <t>pi_p</t>
        </is>
      </c>
      <c r="E15" t="inlineStr" s="3">
        <is>
          <t>subar</t>
        </is>
      </c>
      <c r="F15" t="inlineStr" s="3">
        <is>
          <t>supar</t>
        </is>
      </c>
    </row>
    <row r="16" spans="1:6" x14ac:dyDescent="0.2">
      <c r="A16" t="inlineStr" s="3">
        <is>
          <t>of_ratio</t>
        </is>
      </c>
      <c r="B16" s="4">
        <v>5.55157</v>
      </c>
      <c r="D16" s="4">
        <v>10.0</v>
      </c>
      <c r="E16" s="4">
        <v>1.58</v>
      </c>
      <c r="F16" s="4">
        <v>25.0</v>
      </c>
    </row>
    <row r="17" spans="1:6" x14ac:dyDescent="0.2">
      <c r="A17" t="inlineStr" s="3">
        <is>
          <t>pc, bar</t>
        </is>
      </c>
      <c r="B17" s="4">
        <v>53.3172</v>
      </c>
      <c r="D17" s="4">
        <v>100.0</v>
      </c>
      <c r="F17" s="4">
        <v>50.0</v>
      </c>
    </row>
    <row r="18" spans="1:6" x14ac:dyDescent="0.2">
      <c r="A18" t="inlineStr" s="3">
        <is>
          <t>n_frz</t>
        </is>
      </c>
      <c r="B18" s="4">
        <v>0</v>
      </c>
      <c r="D18" s="4">
        <v>1000.0</v>
      </c>
      <c r="F18" s="4">
        <v>75.0</v>
      </c>
    </row>
    <row r="19" spans="1:2" x14ac:dyDescent="0.2">
      <c r="A19" t="inlineStr" s="3">
        <is>
          <t>tc_est</t>
        </is>
      </c>
      <c r="B19" s="4"/>
    </row>
    <row r="21" spans="1:5" x14ac:dyDescent="0.2">
      <c r="A21" t="inlineStr" s="2">
        <is>
          <t>Requested properties</t>
        </is>
      </c>
      <c r="C21" t="inlineStr" s="2">
        <is>
          <t>Optional species</t>
        </is>
      </c>
      <c r="E21" t="inlineStr" s="2">
        <is>
          <t>Notes</t>
        </is>
      </c>
    </row>
    <row r="22" spans="1:5" x14ac:dyDescent="0.2">
      <c r="A22" t="inlineStr" s="4">
        <is>
          <t>T</t>
        </is>
      </c>
      <c r="C22" t="inlineStr" s="4">
        <is>
          <t>H2O</t>
        </is>
      </c>
      <c r="E22" t="inlineStr" s="6">
        <is>
          <t>One row implements RP-1311 Example 8. Copy the row to sweep O/F, chamber pressure, schedules, or reactant temperatures.</t>
        </is>
      </c>
    </row>
    <row r="23" spans="1:5" x14ac:dyDescent="0.2">
      <c r="A23" t="inlineStr" s="4">
        <is>
          <t>P</t>
        </is>
      </c>
      <c r="C23" t="inlineStr" s="4">
        <is>
          <t>H2</t>
        </is>
      </c>
      <c r="E23" t="inlineStr" s="6">
        <is>
          <t>The solve formula passes T_reac and leaves hc blank; the native wrapper computes chamber enthalpy from reactant temperatures.</t>
        </is>
      </c>
    </row>
    <row r="24" spans="1:5" x14ac:dyDescent="0.2">
      <c r="A24" t="inlineStr" s="4">
        <is>
          <t>density</t>
        </is>
      </c>
      <c r="C24" t="inlineStr" s="4">
        <is>
          <t>O2</t>
        </is>
      </c>
      <c r="E24" t="inlineStr" s="6">
        <is>
          <t>Output spills horizontally from the status column when opened in supported 64-bit Windows Excel.</t>
        </is>
      </c>
    </row>
    <row r="25" spans="1:3" x14ac:dyDescent="0.2">
      <c r="A25" t="inlineStr" s="4">
        <is>
          <t>enthalpy</t>
        </is>
      </c>
      <c r="C25" t="inlineStr" s="4">
        <is>
          <t>OH</t>
        </is>
      </c>
    </row>
    <row r="26" spans="1:3" x14ac:dyDescent="0.2">
      <c r="A26" t="inlineStr" s="4">
        <is>
          <t>energy</t>
        </is>
      </c>
      <c r="C26" t="inlineStr" s="4">
        <is>
          <t>H</t>
        </is>
      </c>
    </row>
    <row r="27" spans="1:3" x14ac:dyDescent="0.2">
      <c r="A27" t="inlineStr" s="4">
        <is>
          <t>gibbs_energy</t>
        </is>
      </c>
      <c r="C27" t="inlineStr" s="4">
        <is>
          <t>O</t>
        </is>
      </c>
    </row>
    <row r="28" spans="1:3" x14ac:dyDescent="0.2">
      <c r="A28" t="inlineStr" s="4">
        <is>
          <t>entropy</t>
        </is>
      </c>
      <c r="C28" t="inlineStr" s="4">
        <is>
          <t>HO2</t>
        </is>
      </c>
    </row>
    <row r="29" spans="1:3" x14ac:dyDescent="0.2">
      <c r="A29" t="inlineStr" s="4">
        <is>
          <t>M</t>
        </is>
      </c>
      <c r="C29" t="inlineStr" s="4">
        <is>
          <t>H2O2</t>
        </is>
      </c>
    </row>
    <row r="30" spans="1:1" x14ac:dyDescent="0.2">
      <c r="A30" t="inlineStr" s="4">
        <is>
          <t>MW</t>
        </is>
      </c>
    </row>
    <row r="31" spans="1:1" x14ac:dyDescent="0.2">
      <c r="A31" t="inlineStr" s="4">
        <is>
          <t>cp_eq</t>
        </is>
      </c>
    </row>
    <row r="32" spans="1:1" x14ac:dyDescent="0.2">
      <c r="A32" t="inlineStr" s="4">
        <is>
          <t>cp_fr</t>
        </is>
      </c>
    </row>
    <row r="33" spans="1:1" x14ac:dyDescent="0.2">
      <c r="A33" t="inlineStr" s="4">
        <is>
          <t>cv_eq</t>
        </is>
      </c>
    </row>
    <row r="34" spans="1:1" x14ac:dyDescent="0.2">
      <c r="A34" t="inlineStr" s="4">
        <is>
          <t>cv_fr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sonic_velocity</t>
        </is>
      </c>
    </row>
    <row r="37" spans="1:1" x14ac:dyDescent="0.2">
      <c r="A37" t="inlineStr" s="4">
        <is>
          <t>Mach</t>
        </is>
      </c>
    </row>
    <row r="38" spans="1:1" x14ac:dyDescent="0.2">
      <c r="A38" t="inlineStr" s="4">
        <is>
          <t>ae_at</t>
        </is>
      </c>
    </row>
    <row r="39" spans="1:1" x14ac:dyDescent="0.2">
      <c r="A39" t="inlineStr" s="4">
        <is>
          <t>c_star</t>
        </is>
      </c>
    </row>
    <row r="40" spans="1:1" x14ac:dyDescent="0.2">
      <c r="A40" t="inlineStr" s="4">
        <is>
          <t>coefficient_of_thrust</t>
        </is>
      </c>
    </row>
    <row r="41" spans="1:1" x14ac:dyDescent="0.2">
      <c r="A41" t="inlineStr" s="4">
        <is>
          <t>Isp_vacuum</t>
        </is>
      </c>
    </row>
    <row r="42" spans="1:1" x14ac:dyDescent="0.2">
      <c r="A42" t="inlineStr" s="4">
        <is>
          <t>Isp</t>
        </is>
      </c>
    </row>
    <row r="46" spans="1:343" x14ac:dyDescent="0.2">
      <c r="A46" t="inlineStr" s="3">
        <is>
          <t>case</t>
        </is>
      </c>
      <c r="B46" t="inlineStr" s="3">
        <is>
          <t>of_ratio</t>
        </is>
      </c>
      <c r="C46" t="inlineStr" s="3">
        <is>
          <t>pc, bar</t>
        </is>
      </c>
      <c r="D46" t="inlineStr" s="3">
        <is>
          <t>pi_p range</t>
        </is>
      </c>
      <c r="E46" t="inlineStr" s="3">
        <is>
          <t>subar range</t>
        </is>
      </c>
      <c r="F46" t="inlineStr" s="3">
        <is>
          <t>supar range</t>
        </is>
      </c>
      <c r="G46" t="inlineStr" s="3">
        <is>
          <t>T_reac range</t>
        </is>
      </c>
      <c r="H46" t="inlineStr" s="3">
        <is>
          <t>status</t>
        </is>
      </c>
      <c r="I46" t="inlineStr" s="3">
        <is>
          <t>converged</t>
        </is>
      </c>
      <c r="J46" t="inlineStr" s="3">
        <is>
          <t>message</t>
        </is>
      </c>
      <c r="K46" t="inlineStr" s="3">
        <is>
          <t>T_chamber</t>
        </is>
      </c>
      <c r="L46" t="inlineStr" s="3">
        <is>
          <t>T_throat</t>
        </is>
      </c>
      <c r="M46" t="inlineStr" s="3">
        <is>
          <t>T_exit_1</t>
        </is>
      </c>
      <c r="N46" t="inlineStr" s="3">
        <is>
          <t>T_exit_2</t>
        </is>
      </c>
      <c r="O46" t="inlineStr" s="3">
        <is>
          <t>T_exit_3</t>
        </is>
      </c>
      <c r="P46" t="inlineStr" s="3">
        <is>
          <t>T_exit_4</t>
        </is>
      </c>
      <c r="Q46" t="inlineStr" s="3">
        <is>
          <t>T_exit_5</t>
        </is>
      </c>
      <c r="R46" t="inlineStr" s="3">
        <is>
          <t>T_exit_6</t>
        </is>
      </c>
      <c r="S46" t="inlineStr" s="3">
        <is>
          <t>T_exit_7</t>
        </is>
      </c>
      <c r="T46" t="inlineStr" s="3">
        <is>
          <t>P_chamber</t>
        </is>
      </c>
      <c r="U46" t="inlineStr" s="3">
        <is>
          <t>P_throat</t>
        </is>
      </c>
      <c r="V46" t="inlineStr" s="3">
        <is>
          <t>P_exit_1</t>
        </is>
      </c>
      <c r="W46" t="inlineStr" s="3">
        <is>
          <t>P_exit_2</t>
        </is>
      </c>
      <c r="X46" t="inlineStr" s="3">
        <is>
          <t>P_exit_3</t>
        </is>
      </c>
      <c r="Y46" t="inlineStr" s="3">
        <is>
          <t>P_exit_4</t>
        </is>
      </c>
      <c r="Z46" t="inlineStr" s="3">
        <is>
          <t>P_exit_5</t>
        </is>
      </c>
      <c r="AA46" t="inlineStr" s="3">
        <is>
          <t>P_exit_6</t>
        </is>
      </c>
      <c r="AB46" t="inlineStr" s="3">
        <is>
          <t>P_exit_7</t>
        </is>
      </c>
      <c r="AC46" t="inlineStr" s="3">
        <is>
          <t>density_chamber</t>
        </is>
      </c>
      <c r="AD46" t="inlineStr" s="3">
        <is>
          <t>density_throat</t>
        </is>
      </c>
      <c r="AE46" t="inlineStr" s="3">
        <is>
          <t>density_exit_1</t>
        </is>
      </c>
      <c r="AF46" t="inlineStr" s="3">
        <is>
          <t>density_exit_2</t>
        </is>
      </c>
      <c r="AG46" t="inlineStr" s="3">
        <is>
          <t>density_exit_3</t>
        </is>
      </c>
      <c r="AH46" t="inlineStr" s="3">
        <is>
          <t>density_exit_4</t>
        </is>
      </c>
      <c r="AI46" t="inlineStr" s="3">
        <is>
          <t>density_exit_5</t>
        </is>
      </c>
      <c r="AJ46" t="inlineStr" s="3">
        <is>
          <t>density_exit_6</t>
        </is>
      </c>
      <c r="AK46" t="inlineStr" s="3">
        <is>
          <t>density_exit_7</t>
        </is>
      </c>
      <c r="AL46" t="inlineStr" s="3">
        <is>
          <t>enthalpy_chamber</t>
        </is>
      </c>
      <c r="AM46" t="inlineStr" s="3">
        <is>
          <t>enthalpy_throat</t>
        </is>
      </c>
      <c r="AN46" t="inlineStr" s="3">
        <is>
          <t>enthalpy_exit_1</t>
        </is>
      </c>
      <c r="AO46" t="inlineStr" s="3">
        <is>
          <t>enthalpy_exit_2</t>
        </is>
      </c>
      <c r="AP46" t="inlineStr" s="3">
        <is>
          <t>enthalpy_exit_3</t>
        </is>
      </c>
      <c r="AQ46" t="inlineStr" s="3">
        <is>
          <t>enthalpy_exit_4</t>
        </is>
      </c>
      <c r="AR46" t="inlineStr" s="3">
        <is>
          <t>enthalpy_exit_5</t>
        </is>
      </c>
      <c r="AS46" t="inlineStr" s="3">
        <is>
          <t>enthalpy_exit_6</t>
        </is>
      </c>
      <c r="AT46" t="inlineStr" s="3">
        <is>
          <t>enthalpy_exit_7</t>
        </is>
      </c>
      <c r="AU46" t="inlineStr" s="3">
        <is>
          <t>energy_chamber</t>
        </is>
      </c>
      <c r="AV46" t="inlineStr" s="3">
        <is>
          <t>energy_throat</t>
        </is>
      </c>
      <c r="AW46" t="inlineStr" s="3">
        <is>
          <t>energy_exit_1</t>
        </is>
      </c>
      <c r="AX46" t="inlineStr" s="3">
        <is>
          <t>energy_exit_2</t>
        </is>
      </c>
      <c r="AY46" t="inlineStr" s="3">
        <is>
          <t>energy_exit_3</t>
        </is>
      </c>
      <c r="AZ46" t="inlineStr" s="3">
        <is>
          <t>energy_exit_4</t>
        </is>
      </c>
      <c r="BA46" t="inlineStr" s="3">
        <is>
          <t>energy_exit_5</t>
        </is>
      </c>
      <c r="BB46" t="inlineStr" s="3">
        <is>
          <t>energy_exit_6</t>
        </is>
      </c>
      <c r="BC46" t="inlineStr" s="3">
        <is>
          <t>energy_exit_7</t>
        </is>
      </c>
      <c r="BD46" t="inlineStr" s="3">
        <is>
          <t>gibbs_energy_chamber</t>
        </is>
      </c>
      <c r="BE46" t="inlineStr" s="3">
        <is>
          <t>gibbs_energy_throat</t>
        </is>
      </c>
      <c r="BF46" t="inlineStr" s="3">
        <is>
          <t>gibbs_energy_exit_1</t>
        </is>
      </c>
      <c r="BG46" t="inlineStr" s="3">
        <is>
          <t>gibbs_energy_exit_2</t>
        </is>
      </c>
      <c r="BH46" t="inlineStr" s="3">
        <is>
          <t>gibbs_energy_exit_3</t>
        </is>
      </c>
      <c r="BI46" t="inlineStr" s="3">
        <is>
          <t>gibbs_energy_exit_4</t>
        </is>
      </c>
      <c r="BJ46" t="inlineStr" s="3">
        <is>
          <t>gibbs_energy_exit_5</t>
        </is>
      </c>
      <c r="BK46" t="inlineStr" s="3">
        <is>
          <t>gibbs_energy_exit_6</t>
        </is>
      </c>
      <c r="BL46" t="inlineStr" s="3">
        <is>
          <t>gibbs_energy_exit_7</t>
        </is>
      </c>
      <c r="BM46" t="inlineStr" s="3">
        <is>
          <t>entropy_chamber</t>
        </is>
      </c>
      <c r="BN46" t="inlineStr" s="3">
        <is>
          <t>entropy_throat</t>
        </is>
      </c>
      <c r="BO46" t="inlineStr" s="3">
        <is>
          <t>entropy_exit_1</t>
        </is>
      </c>
      <c r="BP46" t="inlineStr" s="3">
        <is>
          <t>entropy_exit_2</t>
        </is>
      </c>
      <c r="BQ46" t="inlineStr" s="3">
        <is>
          <t>entropy_exit_3</t>
        </is>
      </c>
      <c r="BR46" t="inlineStr" s="3">
        <is>
          <t>entropy_exit_4</t>
        </is>
      </c>
      <c r="BS46" t="inlineStr" s="3">
        <is>
          <t>entropy_exit_5</t>
        </is>
      </c>
      <c r="BT46" t="inlineStr" s="3">
        <is>
          <t>entropy_exit_6</t>
        </is>
      </c>
      <c r="BU46" t="inlineStr" s="3">
        <is>
          <t>entropy_exit_7</t>
        </is>
      </c>
      <c r="BV46" t="inlineStr" s="3">
        <is>
          <t>M_chamber</t>
        </is>
      </c>
      <c r="BW46" t="inlineStr" s="3">
        <is>
          <t>M_throat</t>
        </is>
      </c>
      <c r="BX46" t="inlineStr" s="3">
        <is>
          <t>M_exit_1</t>
        </is>
      </c>
      <c r="BY46" t="inlineStr" s="3">
        <is>
          <t>M_exit_2</t>
        </is>
      </c>
      <c r="BZ46" t="inlineStr" s="3">
        <is>
          <t>M_exit_3</t>
        </is>
      </c>
      <c r="CA46" t="inlineStr" s="3">
        <is>
          <t>M_exit_4</t>
        </is>
      </c>
      <c r="CB46" t="inlineStr" s="3">
        <is>
          <t>M_exit_5</t>
        </is>
      </c>
      <c r="CC46" t="inlineStr" s="3">
        <is>
          <t>M_exit_6</t>
        </is>
      </c>
      <c r="CD46" t="inlineStr" s="3">
        <is>
          <t>M_exit_7</t>
        </is>
      </c>
      <c r="CE46" t="inlineStr" s="3">
        <is>
          <t>MW_chamber</t>
        </is>
      </c>
      <c r="CF46" t="inlineStr" s="3">
        <is>
          <t>MW_throat</t>
        </is>
      </c>
      <c r="CG46" t="inlineStr" s="3">
        <is>
          <t>MW_exit_1</t>
        </is>
      </c>
      <c r="CH46" t="inlineStr" s="3">
        <is>
          <t>MW_exit_2</t>
        </is>
      </c>
      <c r="CI46" t="inlineStr" s="3">
        <is>
          <t>MW_exit_3</t>
        </is>
      </c>
      <c r="CJ46" t="inlineStr" s="3">
        <is>
          <t>MW_exit_4</t>
        </is>
      </c>
      <c r="CK46" t="inlineStr" s="3">
        <is>
          <t>MW_exit_5</t>
        </is>
      </c>
      <c r="CL46" t="inlineStr" s="3">
        <is>
          <t>MW_exit_6</t>
        </is>
      </c>
      <c r="CM46" t="inlineStr" s="3">
        <is>
          <t>MW_exit_7</t>
        </is>
      </c>
      <c r="CN46" t="inlineStr" s="3">
        <is>
          <t>cp_eq_chamber</t>
        </is>
      </c>
      <c r="CO46" t="inlineStr" s="3">
        <is>
          <t>cp_eq_throat</t>
        </is>
      </c>
      <c r="CP46" t="inlineStr" s="3">
        <is>
          <t>cp_eq_exit_1</t>
        </is>
      </c>
      <c r="CQ46" t="inlineStr" s="3">
        <is>
          <t>cp_eq_exit_2</t>
        </is>
      </c>
      <c r="CR46" t="inlineStr" s="3">
        <is>
          <t>cp_eq_exit_3</t>
        </is>
      </c>
      <c r="CS46" t="inlineStr" s="3">
        <is>
          <t>cp_eq_exit_4</t>
        </is>
      </c>
      <c r="CT46" t="inlineStr" s="3">
        <is>
          <t>cp_eq_exit_5</t>
        </is>
      </c>
      <c r="CU46" t="inlineStr" s="3">
        <is>
          <t>cp_eq_exit_6</t>
        </is>
      </c>
      <c r="CV46" t="inlineStr" s="3">
        <is>
          <t>cp_eq_exit_7</t>
        </is>
      </c>
      <c r="CW46" t="inlineStr" s="3">
        <is>
          <t>cp_fr_chamber</t>
        </is>
      </c>
      <c r="CX46" t="inlineStr" s="3">
        <is>
          <t>cp_fr_throat</t>
        </is>
      </c>
      <c r="CY46" t="inlineStr" s="3">
        <is>
          <t>cp_fr_exit_1</t>
        </is>
      </c>
      <c r="CZ46" t="inlineStr" s="3">
        <is>
          <t>cp_fr_exit_2</t>
        </is>
      </c>
      <c r="DA46" t="inlineStr" s="3">
        <is>
          <t>cp_fr_exit_3</t>
        </is>
      </c>
      <c r="DB46" t="inlineStr" s="3">
        <is>
          <t>cp_fr_exit_4</t>
        </is>
      </c>
      <c r="DC46" t="inlineStr" s="3">
        <is>
          <t>cp_fr_exit_5</t>
        </is>
      </c>
      <c r="DD46" t="inlineStr" s="3">
        <is>
          <t>cp_fr_exit_6</t>
        </is>
      </c>
      <c r="DE46" t="inlineStr" s="3">
        <is>
          <t>cp_fr_exit_7</t>
        </is>
      </c>
      <c r="DF46" t="inlineStr" s="3">
        <is>
          <t>cv_eq_chamber</t>
        </is>
      </c>
      <c r="DG46" t="inlineStr" s="3">
        <is>
          <t>cv_eq_throat</t>
        </is>
      </c>
      <c r="DH46" t="inlineStr" s="3">
        <is>
          <t>cv_eq_exit_1</t>
        </is>
      </c>
      <c r="DI46" t="inlineStr" s="3">
        <is>
          <t>cv_eq_exit_2</t>
        </is>
      </c>
      <c r="DJ46" t="inlineStr" s="3">
        <is>
          <t>cv_eq_exit_3</t>
        </is>
      </c>
      <c r="DK46" t="inlineStr" s="3">
        <is>
          <t>cv_eq_exit_4</t>
        </is>
      </c>
      <c r="DL46" t="inlineStr" s="3">
        <is>
          <t>cv_eq_exit_5</t>
        </is>
      </c>
      <c r="DM46" t="inlineStr" s="3">
        <is>
          <t>cv_eq_exit_6</t>
        </is>
      </c>
      <c r="DN46" t="inlineStr" s="3">
        <is>
          <t>cv_eq_exit_7</t>
        </is>
      </c>
      <c r="DO46" t="inlineStr" s="3">
        <is>
          <t>cv_fr_chamber</t>
        </is>
      </c>
      <c r="DP46" t="inlineStr" s="3">
        <is>
          <t>cv_fr_throat</t>
        </is>
      </c>
      <c r="DQ46" t="inlineStr" s="3">
        <is>
          <t>cv_fr_exit_1</t>
        </is>
      </c>
      <c r="DR46" t="inlineStr" s="3">
        <is>
          <t>cv_fr_exit_2</t>
        </is>
      </c>
      <c r="DS46" t="inlineStr" s="3">
        <is>
          <t>cv_fr_exit_3</t>
        </is>
      </c>
      <c r="DT46" t="inlineStr" s="3">
        <is>
          <t>cv_fr_exit_4</t>
        </is>
      </c>
      <c r="DU46" t="inlineStr" s="3">
        <is>
          <t>cv_fr_exit_5</t>
        </is>
      </c>
      <c r="DV46" t="inlineStr" s="3">
        <is>
          <t>cv_fr_exit_6</t>
        </is>
      </c>
      <c r="DW46" t="inlineStr" s="3">
        <is>
          <t>cv_fr_exit_7</t>
        </is>
      </c>
      <c r="DX46" t="inlineStr" s="3">
        <is>
          <t>gamma_s_chamber</t>
        </is>
      </c>
      <c r="DY46" t="inlineStr" s="3">
        <is>
          <t>gamma_s_throat</t>
        </is>
      </c>
      <c r="DZ46" t="inlineStr" s="3">
        <is>
          <t>gamma_s_exit_1</t>
        </is>
      </c>
      <c r="EA46" t="inlineStr" s="3">
        <is>
          <t>gamma_s_exit_2</t>
        </is>
      </c>
      <c r="EB46" t="inlineStr" s="3">
        <is>
          <t>gamma_s_exit_3</t>
        </is>
      </c>
      <c r="EC46" t="inlineStr" s="3">
        <is>
          <t>gamma_s_exit_4</t>
        </is>
      </c>
      <c r="ED46" t="inlineStr" s="3">
        <is>
          <t>gamma_s_exit_5</t>
        </is>
      </c>
      <c r="EE46" t="inlineStr" s="3">
        <is>
          <t>gamma_s_exit_6</t>
        </is>
      </c>
      <c r="EF46" t="inlineStr" s="3">
        <is>
          <t>gamma_s_exit_7</t>
        </is>
      </c>
      <c r="EG46" t="inlineStr" s="3">
        <is>
          <t>sonic_velocity_chamber</t>
        </is>
      </c>
      <c r="EH46" t="inlineStr" s="3">
        <is>
          <t>sonic_velocity_throat</t>
        </is>
      </c>
      <c r="EI46" t="inlineStr" s="3">
        <is>
          <t>sonic_velocity_exit_1</t>
        </is>
      </c>
      <c r="EJ46" t="inlineStr" s="3">
        <is>
          <t>sonic_velocity_exit_2</t>
        </is>
      </c>
      <c r="EK46" t="inlineStr" s="3">
        <is>
          <t>sonic_velocity_exit_3</t>
        </is>
      </c>
      <c r="EL46" t="inlineStr" s="3">
        <is>
          <t>sonic_velocity_exit_4</t>
        </is>
      </c>
      <c r="EM46" t="inlineStr" s="3">
        <is>
          <t>sonic_velocity_exit_5</t>
        </is>
      </c>
      <c r="EN46" t="inlineStr" s="3">
        <is>
          <t>sonic_velocity_exit_6</t>
        </is>
      </c>
      <c r="EO46" t="inlineStr" s="3">
        <is>
          <t>sonic_velocity_exit_7</t>
        </is>
      </c>
      <c r="EP46" t="inlineStr" s="3">
        <is>
          <t>Mach_chamber</t>
        </is>
      </c>
      <c r="EQ46" t="inlineStr" s="3">
        <is>
          <t>Mach_throat</t>
        </is>
      </c>
      <c r="ER46" t="inlineStr" s="3">
        <is>
          <t>Mach_exit_1</t>
        </is>
      </c>
      <c r="ES46" t="inlineStr" s="3">
        <is>
          <t>Mach_exit_2</t>
        </is>
      </c>
      <c r="ET46" t="inlineStr" s="3">
        <is>
          <t>Mach_exit_3</t>
        </is>
      </c>
      <c r="EU46" t="inlineStr" s="3">
        <is>
          <t>Mach_exit_4</t>
        </is>
      </c>
      <c r="EV46" t="inlineStr" s="3">
        <is>
          <t>Mach_exit_5</t>
        </is>
      </c>
      <c r="EW46" t="inlineStr" s="3">
        <is>
          <t>Mach_exit_6</t>
        </is>
      </c>
      <c r="EX46" t="inlineStr" s="3">
        <is>
          <t>Mach_exit_7</t>
        </is>
      </c>
      <c r="EY46" t="inlineStr" s="3">
        <is>
          <t>ae_at_chamber</t>
        </is>
      </c>
      <c r="EZ46" t="inlineStr" s="3">
        <is>
          <t>ae_at_throat</t>
        </is>
      </c>
      <c r="FA46" t="inlineStr" s="3">
        <is>
          <t>ae_at_exit_1</t>
        </is>
      </c>
      <c r="FB46" t="inlineStr" s="3">
        <is>
          <t>ae_at_exit_2</t>
        </is>
      </c>
      <c r="FC46" t="inlineStr" s="3">
        <is>
          <t>ae_at_exit_3</t>
        </is>
      </c>
      <c r="FD46" t="inlineStr" s="3">
        <is>
          <t>ae_at_exit_4</t>
        </is>
      </c>
      <c r="FE46" t="inlineStr" s="3">
        <is>
          <t>ae_at_exit_5</t>
        </is>
      </c>
      <c r="FF46" t="inlineStr" s="3">
        <is>
          <t>ae_at_exit_6</t>
        </is>
      </c>
      <c r="FG46" t="inlineStr" s="3">
        <is>
          <t>ae_at_exit_7</t>
        </is>
      </c>
      <c r="FH46" t="inlineStr" s="3">
        <is>
          <t>c_star_chamber</t>
        </is>
      </c>
      <c r="FI46" t="inlineStr" s="3">
        <is>
          <t>c_star_throat</t>
        </is>
      </c>
      <c r="FJ46" t="inlineStr" s="3">
        <is>
          <t>c_star_exit_1</t>
        </is>
      </c>
      <c r="FK46" t="inlineStr" s="3">
        <is>
          <t>c_star_exit_2</t>
        </is>
      </c>
      <c r="FL46" t="inlineStr" s="3">
        <is>
          <t>c_star_exit_3</t>
        </is>
      </c>
      <c r="FM46" t="inlineStr" s="3">
        <is>
          <t>c_star_exit_4</t>
        </is>
      </c>
      <c r="FN46" t="inlineStr" s="3">
        <is>
          <t>c_star_exit_5</t>
        </is>
      </c>
      <c r="FO46" t="inlineStr" s="3">
        <is>
          <t>c_star_exit_6</t>
        </is>
      </c>
      <c r="FP46" t="inlineStr" s="3">
        <is>
          <t>c_star_exit_7</t>
        </is>
      </c>
      <c r="FQ46" t="inlineStr" s="3">
        <is>
          <t>coefficient_of_thrust_chamber</t>
        </is>
      </c>
      <c r="FR46" t="inlineStr" s="3">
        <is>
          <t>coefficient_of_thrust_throat</t>
        </is>
      </c>
      <c r="FS46" t="inlineStr" s="3">
        <is>
          <t>coefficient_of_thrust_exit_1</t>
        </is>
      </c>
      <c r="FT46" t="inlineStr" s="3">
        <is>
          <t>coefficient_of_thrust_exit_2</t>
        </is>
      </c>
      <c r="FU46" t="inlineStr" s="3">
        <is>
          <t>coefficient_of_thrust_exit_3</t>
        </is>
      </c>
      <c r="FV46" t="inlineStr" s="3">
        <is>
          <t>coefficient_of_thrust_exit_4</t>
        </is>
      </c>
      <c r="FW46" t="inlineStr" s="3">
        <is>
          <t>coefficient_of_thrust_exit_5</t>
        </is>
      </c>
      <c r="FX46" t="inlineStr" s="3">
        <is>
          <t>coefficient_of_thrust_exit_6</t>
        </is>
      </c>
      <c r="FY46" t="inlineStr" s="3">
        <is>
          <t>coefficient_of_thrust_exit_7</t>
        </is>
      </c>
      <c r="FZ46" t="inlineStr" s="3">
        <is>
          <t>Isp_vacuum_chamber</t>
        </is>
      </c>
      <c r="GA46" t="inlineStr" s="3">
        <is>
          <t>Isp_vacuum_throat</t>
        </is>
      </c>
      <c r="GB46" t="inlineStr" s="3">
        <is>
          <t>Isp_vacuum_exit_1</t>
        </is>
      </c>
      <c r="GC46" t="inlineStr" s="3">
        <is>
          <t>Isp_vacuum_exit_2</t>
        </is>
      </c>
      <c r="GD46" t="inlineStr" s="3">
        <is>
          <t>Isp_vacuum_exit_3</t>
        </is>
      </c>
      <c r="GE46" t="inlineStr" s="3">
        <is>
          <t>Isp_vacuum_exit_4</t>
        </is>
      </c>
      <c r="GF46" t="inlineStr" s="3">
        <is>
          <t>Isp_vacuum_exit_5</t>
        </is>
      </c>
      <c r="GG46" t="inlineStr" s="3">
        <is>
          <t>Isp_vacuum_exit_6</t>
        </is>
      </c>
      <c r="GH46" t="inlineStr" s="3">
        <is>
          <t>Isp_vacuum_exit_7</t>
        </is>
      </c>
      <c r="GI46" t="inlineStr" s="3">
        <is>
          <t>Isp_chamber</t>
        </is>
      </c>
      <c r="GJ46" t="inlineStr" s="3">
        <is>
          <t>Isp_throat</t>
        </is>
      </c>
      <c r="GK46" t="inlineStr" s="3">
        <is>
          <t>Isp_exit_1</t>
        </is>
      </c>
      <c r="GL46" t="inlineStr" s="3">
        <is>
          <t>Isp_exit_2</t>
        </is>
      </c>
      <c r="GM46" t="inlineStr" s="3">
        <is>
          <t>Isp_exit_3</t>
        </is>
      </c>
      <c r="GN46" t="inlineStr" s="3">
        <is>
          <t>Isp_exit_4</t>
        </is>
      </c>
      <c r="GO46" t="inlineStr" s="3">
        <is>
          <t>Isp_exit_5</t>
        </is>
      </c>
      <c r="GP46" t="inlineStr" s="3">
        <is>
          <t>Isp_exit_6</t>
        </is>
      </c>
      <c r="GQ46" t="inlineStr" s="3">
        <is>
          <t>Isp_exit_7</t>
        </is>
      </c>
      <c r="GR46" t="inlineStr" s="3">
        <is>
          <t>mass_H2O_chamber</t>
        </is>
      </c>
      <c r="GS46" t="inlineStr" s="3">
        <is>
          <t>mole_H2O_chamber</t>
        </is>
      </c>
      <c r="GT46" t="inlineStr" s="3">
        <is>
          <t>mass_H2O_throat</t>
        </is>
      </c>
      <c r="GU46" t="inlineStr" s="3">
        <is>
          <t>mole_H2O_throat</t>
        </is>
      </c>
      <c r="GV46" t="inlineStr" s="3">
        <is>
          <t>mass_H2O_exit_1</t>
        </is>
      </c>
      <c r="GW46" t="inlineStr" s="3">
        <is>
          <t>mole_H2O_exit_1</t>
        </is>
      </c>
      <c r="GX46" t="inlineStr" s="3">
        <is>
          <t>mass_H2O_exit_2</t>
        </is>
      </c>
      <c r="GY46" t="inlineStr" s="3">
        <is>
          <t>mole_H2O_exit_2</t>
        </is>
      </c>
      <c r="GZ46" t="inlineStr" s="3">
        <is>
          <t>mass_H2O_exit_3</t>
        </is>
      </c>
      <c r="HA46" t="inlineStr" s="3">
        <is>
          <t>mole_H2O_exit_3</t>
        </is>
      </c>
      <c r="HB46" t="inlineStr" s="3">
        <is>
          <t>mass_H2O_exit_4</t>
        </is>
      </c>
      <c r="HC46" t="inlineStr" s="3">
        <is>
          <t>mole_H2O_exit_4</t>
        </is>
      </c>
      <c r="HD46" t="inlineStr" s="3">
        <is>
          <t>mass_H2O_exit_5</t>
        </is>
      </c>
      <c r="HE46" t="inlineStr" s="3">
        <is>
          <t>mole_H2O_exit_5</t>
        </is>
      </c>
      <c r="HF46" t="inlineStr" s="3">
        <is>
          <t>mass_H2O_exit_6</t>
        </is>
      </c>
      <c r="HG46" t="inlineStr" s="3">
        <is>
          <t>mole_H2O_exit_6</t>
        </is>
      </c>
      <c r="HH46" t="inlineStr" s="3">
        <is>
          <t>mass_H2O_exit_7</t>
        </is>
      </c>
      <c r="HI46" t="inlineStr" s="3">
        <is>
          <t>mole_H2O_exit_7</t>
        </is>
      </c>
      <c r="HJ46" t="inlineStr" s="3">
        <is>
          <t>mass_H2_chamber</t>
        </is>
      </c>
      <c r="HK46" t="inlineStr" s="3">
        <is>
          <t>mole_H2_chamber</t>
        </is>
      </c>
      <c r="HL46" t="inlineStr" s="3">
        <is>
          <t>mass_H2_throat</t>
        </is>
      </c>
      <c r="HM46" t="inlineStr" s="3">
        <is>
          <t>mole_H2_throat</t>
        </is>
      </c>
      <c r="HN46" t="inlineStr" s="3">
        <is>
          <t>mass_H2_exit_1</t>
        </is>
      </c>
      <c r="HO46" t="inlineStr" s="3">
        <is>
          <t>mole_H2_exit_1</t>
        </is>
      </c>
      <c r="HP46" t="inlineStr" s="3">
        <is>
          <t>mass_H2_exit_2</t>
        </is>
      </c>
      <c r="HQ46" t="inlineStr" s="3">
        <is>
          <t>mole_H2_exit_2</t>
        </is>
      </c>
      <c r="HR46" t="inlineStr" s="3">
        <is>
          <t>mass_H2_exit_3</t>
        </is>
      </c>
      <c r="HS46" t="inlineStr" s="3">
        <is>
          <t>mole_H2_exit_3</t>
        </is>
      </c>
      <c r="HT46" t="inlineStr" s="3">
        <is>
          <t>mass_H2_exit_4</t>
        </is>
      </c>
      <c r="HU46" t="inlineStr" s="3">
        <is>
          <t>mole_H2_exit_4</t>
        </is>
      </c>
      <c r="HV46" t="inlineStr" s="3">
        <is>
          <t>mass_H2_exit_5</t>
        </is>
      </c>
      <c r="HW46" t="inlineStr" s="3">
        <is>
          <t>mole_H2_exit_5</t>
        </is>
      </c>
      <c r="HX46" t="inlineStr" s="3">
        <is>
          <t>mass_H2_exit_6</t>
        </is>
      </c>
      <c r="HY46" t="inlineStr" s="3">
        <is>
          <t>mole_H2_exit_6</t>
        </is>
      </c>
      <c r="HZ46" t="inlineStr" s="3">
        <is>
          <t>mass_H2_exit_7</t>
        </is>
      </c>
      <c r="IA46" t="inlineStr" s="3">
        <is>
          <t>mole_H2_exit_7</t>
        </is>
      </c>
      <c r="IB46" t="inlineStr" s="3">
        <is>
          <t>mass_O2_chamber</t>
        </is>
      </c>
      <c r="IC46" t="inlineStr" s="3">
        <is>
          <t>mole_O2_chamber</t>
        </is>
      </c>
      <c r="ID46" t="inlineStr" s="3">
        <is>
          <t>mass_O2_throat</t>
        </is>
      </c>
      <c r="IE46" t="inlineStr" s="3">
        <is>
          <t>mole_O2_throat</t>
        </is>
      </c>
      <c r="IF46" t="inlineStr" s="3">
        <is>
          <t>mass_O2_exit_1</t>
        </is>
      </c>
      <c r="IG46" t="inlineStr" s="3">
        <is>
          <t>mole_O2_exit_1</t>
        </is>
      </c>
      <c r="IH46" t="inlineStr" s="3">
        <is>
          <t>mass_O2_exit_2</t>
        </is>
      </c>
      <c r="II46" t="inlineStr" s="3">
        <is>
          <t>mole_O2_exit_2</t>
        </is>
      </c>
      <c r="IJ46" t="inlineStr" s="3">
        <is>
          <t>mass_O2_exit_3</t>
        </is>
      </c>
      <c r="IK46" t="inlineStr" s="3">
        <is>
          <t>mole_O2_exit_3</t>
        </is>
      </c>
      <c r="IL46" t="inlineStr" s="3">
        <is>
          <t>mass_O2_exit_4</t>
        </is>
      </c>
      <c r="IM46" t="inlineStr" s="3">
        <is>
          <t>mole_O2_exit_4</t>
        </is>
      </c>
      <c r="IN46" t="inlineStr" s="3">
        <is>
          <t>mass_O2_exit_5</t>
        </is>
      </c>
      <c r="IO46" t="inlineStr" s="3">
        <is>
          <t>mole_O2_exit_5</t>
        </is>
      </c>
      <c r="IP46" t="inlineStr" s="3">
        <is>
          <t>mass_O2_exit_6</t>
        </is>
      </c>
      <c r="IQ46" t="inlineStr" s="3">
        <is>
          <t>mole_O2_exit_6</t>
        </is>
      </c>
      <c r="IR46" t="inlineStr" s="3">
        <is>
          <t>mass_O2_exit_7</t>
        </is>
      </c>
      <c r="IS46" t="inlineStr" s="3">
        <is>
          <t>mole_O2_exit_7</t>
        </is>
      </c>
      <c r="IT46" t="inlineStr" s="3">
        <is>
          <t>mass_OH_chamber</t>
        </is>
      </c>
      <c r="IU46" t="inlineStr" s="3">
        <is>
          <t>mole_OH_chamber</t>
        </is>
      </c>
      <c r="IV46" t="inlineStr" s="3">
        <is>
          <t>mass_OH_throat</t>
        </is>
      </c>
      <c r="IW46" t="inlineStr" s="3">
        <is>
          <t>mole_OH_throat</t>
        </is>
      </c>
      <c r="IX46" t="inlineStr" s="3">
        <is>
          <t>mass_OH_exit_1</t>
        </is>
      </c>
      <c r="IY46" t="inlineStr" s="3">
        <is>
          <t>mole_OH_exit_1</t>
        </is>
      </c>
      <c r="IZ46" t="inlineStr" s="3">
        <is>
          <t>mass_OH_exit_2</t>
        </is>
      </c>
      <c r="JA46" t="inlineStr" s="3">
        <is>
          <t>mole_OH_exit_2</t>
        </is>
      </c>
      <c r="JB46" t="inlineStr" s="3">
        <is>
          <t>mass_OH_exit_3</t>
        </is>
      </c>
      <c r="JC46" t="inlineStr" s="3">
        <is>
          <t>mole_OH_exit_3</t>
        </is>
      </c>
      <c r="JD46" t="inlineStr" s="3">
        <is>
          <t>mass_OH_exit_4</t>
        </is>
      </c>
      <c r="JE46" t="inlineStr" s="3">
        <is>
          <t>mole_OH_exit_4</t>
        </is>
      </c>
      <c r="JF46" t="inlineStr" s="3">
        <is>
          <t>mass_OH_exit_5</t>
        </is>
      </c>
      <c r="JG46" t="inlineStr" s="3">
        <is>
          <t>mole_OH_exit_5</t>
        </is>
      </c>
      <c r="JH46" t="inlineStr" s="3">
        <is>
          <t>mass_OH_exit_6</t>
        </is>
      </c>
      <c r="JI46" t="inlineStr" s="3">
        <is>
          <t>mole_OH_exit_6</t>
        </is>
      </c>
      <c r="JJ46" t="inlineStr" s="3">
        <is>
          <t>mass_OH_exit_7</t>
        </is>
      </c>
      <c r="JK46" t="inlineStr" s="3">
        <is>
          <t>mole_OH_exit_7</t>
        </is>
      </c>
      <c r="JL46" t="inlineStr" s="3">
        <is>
          <t>mass_H_chamber</t>
        </is>
      </c>
      <c r="JM46" t="inlineStr" s="3">
        <is>
          <t>mole_H_chamber</t>
        </is>
      </c>
      <c r="JN46" t="inlineStr" s="3">
        <is>
          <t>mass_H_throat</t>
        </is>
      </c>
      <c r="JO46" t="inlineStr" s="3">
        <is>
          <t>mole_H_throat</t>
        </is>
      </c>
      <c r="JP46" t="inlineStr" s="3">
        <is>
          <t>mass_H_exit_1</t>
        </is>
      </c>
      <c r="JQ46" t="inlineStr" s="3">
        <is>
          <t>mole_H_exit_1</t>
        </is>
      </c>
      <c r="JR46" t="inlineStr" s="3">
        <is>
          <t>mass_H_exit_2</t>
        </is>
      </c>
      <c r="JS46" t="inlineStr" s="3">
        <is>
          <t>mole_H_exit_2</t>
        </is>
      </c>
      <c r="JT46" t="inlineStr" s="3">
        <is>
          <t>mass_H_exit_3</t>
        </is>
      </c>
      <c r="JU46" t="inlineStr" s="3">
        <is>
          <t>mole_H_exit_3</t>
        </is>
      </c>
      <c r="JV46" t="inlineStr" s="3">
        <is>
          <t>mass_H_exit_4</t>
        </is>
      </c>
      <c r="JW46" t="inlineStr" s="3">
        <is>
          <t>mole_H_exit_4</t>
        </is>
      </c>
      <c r="JX46" t="inlineStr" s="3">
        <is>
          <t>mass_H_exit_5</t>
        </is>
      </c>
      <c r="JY46" t="inlineStr" s="3">
        <is>
          <t>mole_H_exit_5</t>
        </is>
      </c>
      <c r="JZ46" t="inlineStr" s="3">
        <is>
          <t>mass_H_exit_6</t>
        </is>
      </c>
      <c r="KA46" t="inlineStr" s="3">
        <is>
          <t>mole_H_exit_6</t>
        </is>
      </c>
      <c r="KB46" t="inlineStr" s="3">
        <is>
          <t>mass_H_exit_7</t>
        </is>
      </c>
      <c r="KC46" t="inlineStr" s="3">
        <is>
          <t>mole_H_exit_7</t>
        </is>
      </c>
      <c r="KD46" t="inlineStr" s="3">
        <is>
          <t>mass_O_chamber</t>
        </is>
      </c>
      <c r="KE46" t="inlineStr" s="3">
        <is>
          <t>mole_O_chamber</t>
        </is>
      </c>
      <c r="KF46" t="inlineStr" s="3">
        <is>
          <t>mass_O_throat</t>
        </is>
      </c>
      <c r="KG46" t="inlineStr" s="3">
        <is>
          <t>mole_O_throat</t>
        </is>
      </c>
      <c r="KH46" t="inlineStr" s="3">
        <is>
          <t>mass_O_exit_1</t>
        </is>
      </c>
      <c r="KI46" t="inlineStr" s="3">
        <is>
          <t>mole_O_exit_1</t>
        </is>
      </c>
      <c r="KJ46" t="inlineStr" s="3">
        <is>
          <t>mass_O_exit_2</t>
        </is>
      </c>
      <c r="KK46" t="inlineStr" s="3">
        <is>
          <t>mole_O_exit_2</t>
        </is>
      </c>
      <c r="KL46" t="inlineStr" s="3">
        <is>
          <t>mass_O_exit_3</t>
        </is>
      </c>
      <c r="KM46" t="inlineStr" s="3">
        <is>
          <t>mole_O_exit_3</t>
        </is>
      </c>
      <c r="KN46" t="inlineStr" s="3">
        <is>
          <t>mass_O_exit_4</t>
        </is>
      </c>
      <c r="KO46" t="inlineStr" s="3">
        <is>
          <t>mole_O_exit_4</t>
        </is>
      </c>
      <c r="KP46" t="inlineStr" s="3">
        <is>
          <t>mass_O_exit_5</t>
        </is>
      </c>
      <c r="KQ46" t="inlineStr" s="3">
        <is>
          <t>mole_O_exit_5</t>
        </is>
      </c>
      <c r="KR46" t="inlineStr" s="3">
        <is>
          <t>mass_O_exit_6</t>
        </is>
      </c>
      <c r="KS46" t="inlineStr" s="3">
        <is>
          <t>mole_O_exit_6</t>
        </is>
      </c>
      <c r="KT46" t="inlineStr" s="3">
        <is>
          <t>mass_O_exit_7</t>
        </is>
      </c>
      <c r="KU46" t="inlineStr" s="3">
        <is>
          <t>mole_O_exit_7</t>
        </is>
      </c>
      <c r="KV46" t="inlineStr" s="3">
        <is>
          <t>mass_HO2_chamber</t>
        </is>
      </c>
      <c r="KW46" t="inlineStr" s="3">
        <is>
          <t>mole_HO2_chamber</t>
        </is>
      </c>
      <c r="KX46" t="inlineStr" s="3">
        <is>
          <t>mass_HO2_throat</t>
        </is>
      </c>
      <c r="KY46" t="inlineStr" s="3">
        <is>
          <t>mole_HO2_throat</t>
        </is>
      </c>
      <c r="KZ46" t="inlineStr" s="3">
        <is>
          <t>mass_HO2_exit_1</t>
        </is>
      </c>
      <c r="LA46" t="inlineStr" s="3">
        <is>
          <t>mole_HO2_exit_1</t>
        </is>
      </c>
      <c r="LB46" t="inlineStr" s="3">
        <is>
          <t>mass_HO2_exit_2</t>
        </is>
      </c>
      <c r="LC46" t="inlineStr" s="3">
        <is>
          <t>mole_HO2_exit_2</t>
        </is>
      </c>
      <c r="LD46" t="inlineStr" s="3">
        <is>
          <t>mass_HO2_exit_3</t>
        </is>
      </c>
      <c r="LE46" t="inlineStr" s="3">
        <is>
          <t>mole_HO2_exit_3</t>
        </is>
      </c>
      <c r="LF46" t="inlineStr" s="3">
        <is>
          <t>mass_HO2_exit_4</t>
        </is>
      </c>
      <c r="LG46" t="inlineStr" s="3">
        <is>
          <t>mole_HO2_exit_4</t>
        </is>
      </c>
      <c r="LH46" t="inlineStr" s="3">
        <is>
          <t>mass_HO2_exit_5</t>
        </is>
      </c>
      <c r="LI46" t="inlineStr" s="3">
        <is>
          <t>mole_HO2_exit_5</t>
        </is>
      </c>
      <c r="LJ46" t="inlineStr" s="3">
        <is>
          <t>mass_HO2_exit_6</t>
        </is>
      </c>
      <c r="LK46" t="inlineStr" s="3">
        <is>
          <t>mole_HO2_exit_6</t>
        </is>
      </c>
      <c r="LL46" t="inlineStr" s="3">
        <is>
          <t>mass_HO2_exit_7</t>
        </is>
      </c>
      <c r="LM46" t="inlineStr" s="3">
        <is>
          <t>mole_HO2_exit_7</t>
        </is>
      </c>
      <c r="LN46" t="inlineStr" s="3">
        <is>
          <t>mass_H2O2_chamber</t>
        </is>
      </c>
      <c r="LO46" t="inlineStr" s="3">
        <is>
          <t>mole_H2O2_chamber</t>
        </is>
      </c>
      <c r="LP46" t="inlineStr" s="3">
        <is>
          <t>mass_H2O2_throat</t>
        </is>
      </c>
      <c r="LQ46" t="inlineStr" s="3">
        <is>
          <t>mole_H2O2_throat</t>
        </is>
      </c>
      <c r="LR46" t="inlineStr" s="3">
        <is>
          <t>mass_H2O2_exit_1</t>
        </is>
      </c>
      <c r="LS46" t="inlineStr" s="3">
        <is>
          <t>mole_H2O2_exit_1</t>
        </is>
      </c>
      <c r="LT46" t="inlineStr" s="3">
        <is>
          <t>mass_H2O2_exit_2</t>
        </is>
      </c>
      <c r="LU46" t="inlineStr" s="3">
        <is>
          <t>mole_H2O2_exit_2</t>
        </is>
      </c>
      <c r="LV46" t="inlineStr" s="3">
        <is>
          <t>mass_H2O2_exit_3</t>
        </is>
      </c>
      <c r="LW46" t="inlineStr" s="3">
        <is>
          <t>mole_H2O2_exit_3</t>
        </is>
      </c>
      <c r="LX46" t="inlineStr" s="3">
        <is>
          <t>mass_H2O2_exit_4</t>
        </is>
      </c>
      <c r="LY46" t="inlineStr" s="3">
        <is>
          <t>mole_H2O2_exit_4</t>
        </is>
      </c>
      <c r="LZ46" t="inlineStr" s="3">
        <is>
          <t>mass_H2O2_exit_5</t>
        </is>
      </c>
      <c r="MA46" t="inlineStr" s="3">
        <is>
          <t>mole_H2O2_exit_5</t>
        </is>
      </c>
      <c r="MB46" t="inlineStr" s="3">
        <is>
          <t>mass_H2O2_exit_6</t>
        </is>
      </c>
      <c r="MC46" t="inlineStr" s="3">
        <is>
          <t>mole_H2O2_exit_6</t>
        </is>
      </c>
      <c r="MD46" t="inlineStr" s="3">
        <is>
          <t>mass_H2O2_exit_7</t>
        </is>
      </c>
      <c r="ME46" t="inlineStr" s="3">
        <is>
          <t>mole_H2O2_exit_7</t>
        </is>
      </c>
    </row>
    <row r="47" spans="1:8" x14ac:dyDescent="0.2">
      <c r="A47" s="9">
        <v>1</v>
      </c>
      <c r="B47" s="5">
        <f>$B$16</f>
      </c>
      <c r="C47" s="5">
        <f>$B$17</f>
      </c>
      <c r="D47" t="inlineStr" s="6">
        <is>
          <t>$D$16:$D$18</t>
        </is>
      </c>
      <c r="E47" t="inlineStr" s="6">
        <is>
          <t>$E$16:$E$16</t>
        </is>
      </c>
      <c r="F47" t="inlineStr" s="6">
        <is>
          <t>$F$16:$F$18</t>
        </is>
      </c>
      <c r="G47" t="inlineStr" s="6">
        <is>
          <t>$E$11:$E$12</t>
        </is>
      </c>
      <c r="H47" s="5">
        <f>CEA_ROCKET_IAC_SOLVE($A$10:$D$12,C47,$D$16:$D$18,$E$16:$E$16,$F$16:$F$18,B47,,,,,$E$11:$E$12,$B$18,,,,,,$A$22:$A$42,$C$22:$C$29,$B$5,$B$6,$B$7)</f>
      </c>
    </row>
  </sheetData>
  <mergeCells count="4">
    <mergeCell ref="A1:G1"/>
    <mergeCell ref="E22:H22"/>
    <mergeCell ref="E23:H23"/>
    <mergeCell ref="E24:H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ES62"/>
  <sheetViews>
    <sheetView workbookViewId="0">
      <pane xSplit="0" ySplit="56" topLeftCell="A57" activePane="bottomRight" state="frozen"/>
      <selection pane="bottomRight"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8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  <col min="59" max="59" width="15" customWidth="1"/>
    <col min="60" max="60" width="15" customWidth="1"/>
    <col min="61" max="61" width="15" customWidth="1"/>
    <col min="62" max="62" width="15" customWidth="1"/>
    <col min="63" max="63" width="15" customWidth="1"/>
    <col min="64" max="64" width="15" customWidth="1"/>
    <col min="65" max="65" width="15" customWidth="1"/>
    <col min="66" max="66" width="15" customWidth="1"/>
    <col min="67" max="67" width="15" customWidth="1"/>
    <col min="68" max="68" width="15" customWidth="1"/>
    <col min="69" max="69" width="15" customWidth="1"/>
    <col min="70" max="70" width="15" customWidth="1"/>
    <col min="71" max="71" width="15" customWidth="1"/>
    <col min="72" max="72" width="15" customWidth="1"/>
    <col min="73" max="73" width="15" customWidth="1"/>
    <col min="74" max="74" width="15" customWidth="1"/>
    <col min="75" max="75" width="15" customWidth="1"/>
    <col min="76" max="76" width="15" customWidth="1"/>
    <col min="77" max="77" width="15" customWidth="1"/>
    <col min="78" max="78" width="15" customWidth="1"/>
    <col min="79" max="79" width="15" customWidth="1"/>
    <col min="80" max="80" width="15" customWidth="1"/>
    <col min="81" max="81" width="15" customWidth="1"/>
    <col min="82" max="82" width="15" customWidth="1"/>
    <col min="83" max="83" width="15" customWidth="1"/>
    <col min="84" max="84" width="15" customWidth="1"/>
    <col min="85" max="85" width="15" customWidth="1"/>
    <col min="86" max="86" width="15" customWidth="1"/>
    <col min="87" max="87" width="15" customWidth="1"/>
    <col min="88" max="88" width="15" customWidth="1"/>
    <col min="89" max="89" width="15" customWidth="1"/>
    <col min="90" max="90" width="15" customWidth="1"/>
    <col min="91" max="91" width="15" customWidth="1"/>
    <col min="92" max="92" width="15" customWidth="1"/>
    <col min="93" max="93" width="15" customWidth="1"/>
    <col min="94" max="94" width="15" customWidth="1"/>
    <col min="95" max="95" width="15" customWidth="1"/>
    <col min="96" max="96" width="15" customWidth="1"/>
    <col min="97" max="97" width="15" customWidth="1"/>
    <col min="98" max="98" width="15" customWidth="1"/>
    <col min="99" max="99" width="15" customWidth="1"/>
    <col min="100" max="100" width="15" customWidth="1"/>
    <col min="101" max="101" width="15" customWidth="1"/>
    <col min="102" max="102" width="15" customWidth="1"/>
    <col min="103" max="103" width="15" customWidth="1"/>
    <col min="104" max="104" width="15" customWidth="1"/>
    <col min="105" max="105" width="15" customWidth="1"/>
    <col min="106" max="106" width="15" customWidth="1"/>
    <col min="107" max="107" width="15" customWidth="1"/>
    <col min="108" max="108" width="15" customWidth="1"/>
    <col min="109" max="109" width="15" customWidth="1"/>
    <col min="110" max="110" width="15" customWidth="1"/>
    <col min="111" max="111" width="15" customWidth="1"/>
    <col min="112" max="112" width="15" customWidth="1"/>
    <col min="113" max="113" width="15" customWidth="1"/>
    <col min="114" max="114" width="15" customWidth="1"/>
    <col min="115" max="115" width="15" customWidth="1"/>
    <col min="116" max="116" width="15" customWidth="1"/>
    <col min="117" max="117" width="15" customWidth="1"/>
    <col min="118" max="118" width="15" customWidth="1"/>
    <col min="119" max="119" width="15" customWidth="1"/>
    <col min="120" max="120" width="15" customWidth="1"/>
    <col min="121" max="121" width="15" customWidth="1"/>
    <col min="122" max="122" width="15" customWidth="1"/>
    <col min="123" max="123" width="15" customWidth="1"/>
    <col min="124" max="124" width="15" customWidth="1"/>
    <col min="125" max="125" width="15" customWidth="1"/>
    <col min="126" max="126" width="15" customWidth="1"/>
    <col min="127" max="127" width="15" customWidth="1"/>
    <col min="128" max="128" width="15" customWidth="1"/>
    <col min="129" max="129" width="15" customWidth="1"/>
    <col min="130" max="130" width="15" customWidth="1"/>
    <col min="131" max="131" width="15" customWidth="1"/>
    <col min="132" max="132" width="15" customWidth="1"/>
    <col min="133" max="133" width="15" customWidth="1"/>
    <col min="134" max="134" width="15" customWidth="1"/>
    <col min="135" max="135" width="15" customWidth="1"/>
    <col min="136" max="136" width="15" customWidth="1"/>
    <col min="137" max="137" width="15" customWidth="1"/>
    <col min="138" max="138" width="15" customWidth="1"/>
    <col min="139" max="139" width="15" customWidth="1"/>
    <col min="140" max="140" width="15" customWidth="1"/>
    <col min="141" max="141" width="15" customWidth="1"/>
    <col min="142" max="142" width="15" customWidth="1"/>
    <col min="143" max="143" width="15" customWidth="1"/>
    <col min="144" max="144" width="15" customWidth="1"/>
    <col min="145" max="145" width="15" customWidth="1"/>
    <col min="146" max="146" width="15" customWidth="1"/>
    <col min="147" max="147" width="15" customWidth="1"/>
    <col min="148" max="148" width="15" customWidth="1"/>
    <col min="149" max="149" width="15" customWidth="1"/>
  </cols>
  <sheetData>
    <row r="1" spans="1:1" x14ac:dyDescent="0.2">
      <c r="A1" t="inlineStr" s="1">
        <is>
          <t>Shock</t>
        </is>
      </c>
    </row>
    <row r="2" spans="1:2" x14ac:dyDescent="0.2">
      <c r="A2" t="inlineStr" s="3">
        <is>
          <t>problem type</t>
        </is>
      </c>
      <c r="B2" t="inlineStr" s="4">
        <is>
          <t>Shock tube</t>
        </is>
      </c>
    </row>
    <row r="3" spans="1:2" x14ac:dyDescent="0.2">
      <c r="A3" t="inlineStr" s="3">
        <is>
          <t>reference</t>
        </is>
      </c>
      <c r="B3" t="inlineStr" s="6">
        <is>
          <t>RP-1311 Example 7: incident and reflected shocks</t>
        </is>
      </c>
    </row>
    <row r="4" spans="1:2" x14ac:dyDescent="0.2">
      <c r="A4" t="inlineStr" s="3">
        <is>
          <t>transport</t>
        </is>
      </c>
      <c r="B4" t="b" s="4">
        <v>0</v>
      </c>
    </row>
    <row r="5" spans="1:2" x14ac:dyDescent="0.2">
      <c r="A5" t="inlineStr" s="3">
        <is>
          <t>reflected</t>
        </is>
      </c>
      <c r="B5" t="b" s="4">
        <v>1</v>
      </c>
    </row>
    <row r="6" spans="1:2" x14ac:dyDescent="0.2">
      <c r="A6" t="inlineStr" s="3">
        <is>
          <t>incident_frozen</t>
        </is>
      </c>
      <c r="B6" t="b" s="4">
        <v>0</v>
      </c>
    </row>
    <row r="7" spans="1:2" x14ac:dyDescent="0.2">
      <c r="A7" t="inlineStr" s="3">
        <is>
          <t>reflected_frozen</t>
        </is>
      </c>
      <c r="B7" t="b" s="4">
        <v>0</v>
      </c>
    </row>
    <row r="8" spans="1:2" x14ac:dyDescent="0.2">
      <c r="A8" t="inlineStr" s="3">
        <is>
          <t>ions</t>
        </is>
      </c>
      <c r="B8" t="b" s="4">
        <v>0</v>
      </c>
    </row>
    <row r="9" spans="1:2" x14ac:dyDescent="0.2">
      <c r="A9" t="inlineStr" s="3">
        <is>
          <t>include_headers</t>
        </is>
      </c>
      <c r="B9" t="b" s="4">
        <v>0</v>
      </c>
    </row>
    <row r="11" spans="1:1" x14ac:dyDescent="0.2">
      <c r="A11" t="inlineStr" s="2">
        <is>
          <t>Reactants</t>
        </is>
      </c>
    </row>
    <row r="12" spans="1:5" x14ac:dyDescent="0.2">
      <c r="A12" t="inlineStr" s="3">
        <is>
          <t>name</t>
        </is>
      </c>
      <c r="B12" t="inlineStr" s="3">
        <is>
          <t>role</t>
        </is>
      </c>
      <c r="C12" t="inlineStr" s="3">
        <is>
          <t>base_amount</t>
        </is>
      </c>
      <c r="D12" t="inlineStr" s="3">
        <is>
          <t>basis</t>
        </is>
      </c>
      <c r="E12" t="inlineStr" s="3">
        <is>
          <t>computed weight</t>
        </is>
      </c>
    </row>
    <row r="13" spans="1:5" x14ac:dyDescent="0.2">
      <c r="A13" t="inlineStr" s="4">
        <is>
          <t>H2</t>
        </is>
      </c>
      <c r="B13" t="inlineStr" s="4">
        <is>
          <t>fuel</t>
        </is>
      </c>
      <c r="C13" s="4">
        <v>0.05</v>
      </c>
      <c r="D13" t="inlineStr" s="4">
        <is>
          <t>mole</t>
        </is>
      </c>
      <c r="E13" s="5">
        <f>INDEX(CEA_WEIGHTS_FROM_MOLES($A$12:$D$15,$C$13:$C$15),1,1)</f>
      </c>
    </row>
    <row r="14" spans="1:5" x14ac:dyDescent="0.2">
      <c r="A14" t="inlineStr" s="4">
        <is>
          <t>O2</t>
        </is>
      </c>
      <c r="B14" t="inlineStr" s="4">
        <is>
          <t>oxidizer</t>
        </is>
      </c>
      <c r="C14" s="4">
        <v>0.05</v>
      </c>
      <c r="D14" t="inlineStr" s="4">
        <is>
          <t>mole</t>
        </is>
      </c>
      <c r="E14" s="5">
        <f>INDEX(CEA_WEIGHTS_FROM_MOLES($A$12:$D$15,$C$13:$C$15),1,2)</f>
      </c>
    </row>
    <row r="15" spans="1:5" x14ac:dyDescent="0.2">
      <c r="A15" t="inlineStr" s="4">
        <is>
          <t>Ar</t>
        </is>
      </c>
      <c r="B15" t="inlineStr" s="4">
        <is>
          <t>inert</t>
        </is>
      </c>
      <c r="C15" s="4">
        <v>0.9</v>
      </c>
      <c r="D15" t="inlineStr" s="4">
        <is>
          <t>mole</t>
        </is>
      </c>
      <c r="E15" s="5">
        <f>INDEX(CEA_WEIGHTS_FROM_MOLES($A$12:$D$15,$C$13:$C$15),1,3)</f>
      </c>
    </row>
    <row r="17" spans="1:1" x14ac:dyDescent="0.2">
      <c r="A17" t="inlineStr" s="2">
        <is>
          <t>Shock controls</t>
        </is>
      </c>
    </row>
    <row r="18" spans="1:2" x14ac:dyDescent="0.2">
      <c r="A18" t="inlineStr" s="3">
        <is>
          <t>T0, K</t>
        </is>
      </c>
      <c r="B18" s="4">
        <v>300.0</v>
      </c>
    </row>
    <row r="19" spans="1:2" x14ac:dyDescent="0.2">
      <c r="A19" t="inlineStr" s="3">
        <is>
          <t>p0, mmHg</t>
        </is>
      </c>
      <c r="B19" s="4">
        <v>10.0</v>
      </c>
    </row>
    <row r="20" spans="1:2" x14ac:dyDescent="0.2">
      <c r="A20" t="inlineStr" s="3">
        <is>
          <t>p0, bar</t>
        </is>
      </c>
      <c r="B20" s="5">
        <f>CEA_PRESSURE_SI($B$19,"mmhg")</f>
      </c>
    </row>
    <row r="23" spans="1:5" x14ac:dyDescent="0.2">
      <c r="A23" t="inlineStr" s="2">
        <is>
          <t>Requested properties</t>
        </is>
      </c>
      <c r="C23" t="inlineStr" s="2">
        <is>
          <t>Optional species</t>
        </is>
      </c>
      <c r="E23" t="inlineStr" s="2">
        <is>
          <t>Notes</t>
        </is>
      </c>
    </row>
    <row r="24" spans="1:5" x14ac:dyDescent="0.2">
      <c r="A24" t="inlineStr" s="4">
        <is>
          <t>velocity</t>
        </is>
      </c>
      <c r="C24" t="inlineStr" s="4">
        <is>
          <t>H2</t>
        </is>
      </c>
      <c r="E24" t="inlineStr" s="6">
        <is>
          <t>Rows implement the six u1 velocities from RP-1311 Example 7.</t>
        </is>
      </c>
    </row>
    <row r="25" spans="1:5" x14ac:dyDescent="0.2">
      <c r="A25" t="inlineStr" s="4">
        <is>
          <t>Mach</t>
        </is>
      </c>
      <c r="C25" t="inlineStr" s="4">
        <is>
          <t>O2</t>
        </is>
      </c>
      <c r="E25" t="inlineStr" s="6">
        <is>
          <t>Weights are computed once from the fixed mole mixture and passed as explicit weights.</t>
        </is>
      </c>
    </row>
    <row r="26" spans="1:5" x14ac:dyDescent="0.2">
      <c r="A26" t="inlineStr" s="4">
        <is>
          <t>sonic_velocity</t>
        </is>
      </c>
      <c r="C26" t="inlineStr" s="4">
        <is>
          <t>Ar</t>
        </is>
      </c>
      <c r="E26" t="inlineStr" s="6">
        <is>
          <t>Output spills horizontally from the status column when opened in supported 64-bit Windows Excel.</t>
        </is>
      </c>
    </row>
    <row r="27" spans="1:3" x14ac:dyDescent="0.2">
      <c r="A27" t="inlineStr" s="4">
        <is>
          <t>P</t>
        </is>
      </c>
      <c r="C27" t="inlineStr" s="4">
        <is>
          <t>H</t>
        </is>
      </c>
    </row>
    <row r="28" spans="1:3" x14ac:dyDescent="0.2">
      <c r="A28" t="inlineStr" s="4">
        <is>
          <t>T</t>
        </is>
      </c>
      <c r="C28" t="inlineStr" s="4">
        <is>
          <t>O</t>
        </is>
      </c>
    </row>
    <row r="29" spans="1:3" x14ac:dyDescent="0.2">
      <c r="A29" t="inlineStr" s="4">
        <is>
          <t>density</t>
        </is>
      </c>
      <c r="C29" t="inlineStr" s="4">
        <is>
          <t>OH</t>
        </is>
      </c>
    </row>
    <row r="30" spans="1:3" x14ac:dyDescent="0.2">
      <c r="A30" t="inlineStr" s="4">
        <is>
          <t>enthalpy</t>
        </is>
      </c>
      <c r="C30" t="inlineStr" s="4">
        <is>
          <t>H2O</t>
        </is>
      </c>
    </row>
    <row r="31" spans="1:3" x14ac:dyDescent="0.2">
      <c r="A31" t="inlineStr" s="4">
        <is>
          <t>energy</t>
        </is>
      </c>
      <c r="C31" t="inlineStr" s="4">
        <is>
          <t>HO2</t>
        </is>
      </c>
    </row>
    <row r="32" spans="1:3" x14ac:dyDescent="0.2">
      <c r="A32" t="inlineStr" s="4">
        <is>
          <t>gibbs_energy</t>
        </is>
      </c>
      <c r="C32" t="inlineStr" s="4">
        <is>
          <t>H2O2</t>
        </is>
      </c>
    </row>
    <row r="33" spans="1:3" x14ac:dyDescent="0.2">
      <c r="A33" t="inlineStr" s="4">
        <is>
          <t>entropy</t>
        </is>
      </c>
      <c r="C33" t="inlineStr" s="4">
        <is>
          <t>O3</t>
        </is>
      </c>
    </row>
    <row r="34" spans="1:1" x14ac:dyDescent="0.2">
      <c r="A34" t="inlineStr" s="4">
        <is>
          <t>M</t>
        </is>
      </c>
    </row>
    <row r="35" spans="1:1" x14ac:dyDescent="0.2">
      <c r="A35" t="inlineStr" s="4">
        <is>
          <t>MW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gamma_s</t>
        </is>
      </c>
    </row>
    <row r="41" spans="1:1" x14ac:dyDescent="0.2">
      <c r="A41" t="inlineStr" s="4">
        <is>
          <t>P21</t>
        </is>
      </c>
    </row>
    <row r="42" spans="1:1" x14ac:dyDescent="0.2">
      <c r="A42" t="inlineStr" s="4">
        <is>
          <t>T21</t>
        </is>
      </c>
    </row>
    <row r="43" spans="1:1" x14ac:dyDescent="0.2">
      <c r="A43" t="inlineStr" s="4">
        <is>
          <t>M21</t>
        </is>
      </c>
    </row>
    <row r="44" spans="1:1" x14ac:dyDescent="0.2">
      <c r="A44" t="inlineStr" s="4">
        <is>
          <t>rho12</t>
        </is>
      </c>
    </row>
    <row r="45" spans="1:1" x14ac:dyDescent="0.2">
      <c r="A45" t="inlineStr" s="4">
        <is>
          <t>v2</t>
        </is>
      </c>
    </row>
    <row r="46" spans="1:1" x14ac:dyDescent="0.2">
      <c r="A46" t="inlineStr" s="4">
        <is>
          <t>P52</t>
        </is>
      </c>
    </row>
    <row r="47" spans="1:1" x14ac:dyDescent="0.2">
      <c r="A47" t="inlineStr" s="4">
        <is>
          <t>T52</t>
        </is>
      </c>
    </row>
    <row r="48" spans="1:1" x14ac:dyDescent="0.2">
      <c r="A48" t="inlineStr" s="4">
        <is>
          <t>M52</t>
        </is>
      </c>
    </row>
    <row r="49" spans="1:1" x14ac:dyDescent="0.2">
      <c r="A49" t="inlineStr" s="4">
        <is>
          <t>rho52</t>
        </is>
      </c>
    </row>
    <row r="50" spans="1:1" x14ac:dyDescent="0.2">
      <c r="A50" t="inlineStr" s="4">
        <is>
          <t>u5_p_v2</t>
        </is>
      </c>
    </row>
    <row r="56" spans="1:149" x14ac:dyDescent="0.2">
      <c r="A56" t="inlineStr" s="3">
        <is>
          <t>case</t>
        </is>
      </c>
      <c r="B56" t="inlineStr" s="3">
        <is>
          <t>u1, m/s</t>
        </is>
      </c>
      <c r="C56" t="inlineStr" s="3">
        <is>
          <t>T0, K</t>
        </is>
      </c>
      <c r="D56" t="inlineStr" s="3">
        <is>
          <t>p0, bar</t>
        </is>
      </c>
      <c r="E56" t="inlineStr" s="3">
        <is>
          <t>weights range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velocity_state1</t>
        </is>
      </c>
      <c r="J56" t="inlineStr" s="3">
        <is>
          <t>velocity_state2</t>
        </is>
      </c>
      <c r="K56" t="inlineStr" s="3">
        <is>
          <t>velocity_state5</t>
        </is>
      </c>
      <c r="L56" t="inlineStr" s="3">
        <is>
          <t>Mach_state1</t>
        </is>
      </c>
      <c r="M56" t="inlineStr" s="3">
        <is>
          <t>Mach_state2</t>
        </is>
      </c>
      <c r="N56" t="inlineStr" s="3">
        <is>
          <t>Mach_state5</t>
        </is>
      </c>
      <c r="O56" t="inlineStr" s="3">
        <is>
          <t>sonic_velocity_state1</t>
        </is>
      </c>
      <c r="P56" t="inlineStr" s="3">
        <is>
          <t>sonic_velocity_state2</t>
        </is>
      </c>
      <c r="Q56" t="inlineStr" s="3">
        <is>
          <t>sonic_velocity_state5</t>
        </is>
      </c>
      <c r="R56" t="inlineStr" s="3">
        <is>
          <t>P_state1</t>
        </is>
      </c>
      <c r="S56" t="inlineStr" s="3">
        <is>
          <t>P_state2</t>
        </is>
      </c>
      <c r="T56" t="inlineStr" s="3">
        <is>
          <t>P_state5</t>
        </is>
      </c>
      <c r="U56" t="inlineStr" s="3">
        <is>
          <t>T_state1</t>
        </is>
      </c>
      <c r="V56" t="inlineStr" s="3">
        <is>
          <t>T_state2</t>
        </is>
      </c>
      <c r="W56" t="inlineStr" s="3">
        <is>
          <t>T_state5</t>
        </is>
      </c>
      <c r="X56" t="inlineStr" s="3">
        <is>
          <t>density_state1</t>
        </is>
      </c>
      <c r="Y56" t="inlineStr" s="3">
        <is>
          <t>density_state2</t>
        </is>
      </c>
      <c r="Z56" t="inlineStr" s="3">
        <is>
          <t>density_state5</t>
        </is>
      </c>
      <c r="AA56" t="inlineStr" s="3">
        <is>
          <t>enthalpy_state1</t>
        </is>
      </c>
      <c r="AB56" t="inlineStr" s="3">
        <is>
          <t>enthalpy_state2</t>
        </is>
      </c>
      <c r="AC56" t="inlineStr" s="3">
        <is>
          <t>enthalpy_state5</t>
        </is>
      </c>
      <c r="AD56" t="inlineStr" s="3">
        <is>
          <t>energy_state1</t>
        </is>
      </c>
      <c r="AE56" t="inlineStr" s="3">
        <is>
          <t>energy_state2</t>
        </is>
      </c>
      <c r="AF56" t="inlineStr" s="3">
        <is>
          <t>energy_state5</t>
        </is>
      </c>
      <c r="AG56" t="inlineStr" s="3">
        <is>
          <t>gibbs_energy_state1</t>
        </is>
      </c>
      <c r="AH56" t="inlineStr" s="3">
        <is>
          <t>gibbs_energy_state2</t>
        </is>
      </c>
      <c r="AI56" t="inlineStr" s="3">
        <is>
          <t>gibbs_energy_state5</t>
        </is>
      </c>
      <c r="AJ56" t="inlineStr" s="3">
        <is>
          <t>entropy_state1</t>
        </is>
      </c>
      <c r="AK56" t="inlineStr" s="3">
        <is>
          <t>entropy_state2</t>
        </is>
      </c>
      <c r="AL56" t="inlineStr" s="3">
        <is>
          <t>entropy_state5</t>
        </is>
      </c>
      <c r="AM56" t="inlineStr" s="3">
        <is>
          <t>M_state1</t>
        </is>
      </c>
      <c r="AN56" t="inlineStr" s="3">
        <is>
          <t>M_state2</t>
        </is>
      </c>
      <c r="AO56" t="inlineStr" s="3">
        <is>
          <t>M_state5</t>
        </is>
      </c>
      <c r="AP56" t="inlineStr" s="3">
        <is>
          <t>MW_state1</t>
        </is>
      </c>
      <c r="AQ56" t="inlineStr" s="3">
        <is>
          <t>MW_state2</t>
        </is>
      </c>
      <c r="AR56" t="inlineStr" s="3">
        <is>
          <t>MW_state5</t>
        </is>
      </c>
      <c r="AS56" t="inlineStr" s="3">
        <is>
          <t>cp_eq_state1</t>
        </is>
      </c>
      <c r="AT56" t="inlineStr" s="3">
        <is>
          <t>cp_eq_state2</t>
        </is>
      </c>
      <c r="AU56" t="inlineStr" s="3">
        <is>
          <t>cp_eq_state5</t>
        </is>
      </c>
      <c r="AV56" t="inlineStr" s="3">
        <is>
          <t>cp_fr_state1</t>
        </is>
      </c>
      <c r="AW56" t="inlineStr" s="3">
        <is>
          <t>cp_fr_state2</t>
        </is>
      </c>
      <c r="AX56" t="inlineStr" s="3">
        <is>
          <t>cp_fr_state5</t>
        </is>
      </c>
      <c r="AY56" t="inlineStr" s="3">
        <is>
          <t>cv_eq_state1</t>
        </is>
      </c>
      <c r="AZ56" t="inlineStr" s="3">
        <is>
          <t>cv_eq_state2</t>
        </is>
      </c>
      <c r="BA56" t="inlineStr" s="3">
        <is>
          <t>cv_eq_state5</t>
        </is>
      </c>
      <c r="BB56" t="inlineStr" s="3">
        <is>
          <t>cv_fr_state1</t>
        </is>
      </c>
      <c r="BC56" t="inlineStr" s="3">
        <is>
          <t>cv_fr_state2</t>
        </is>
      </c>
      <c r="BD56" t="inlineStr" s="3">
        <is>
          <t>cv_fr_state5</t>
        </is>
      </c>
      <c r="BE56" t="inlineStr" s="3">
        <is>
          <t>gamma_s_state1</t>
        </is>
      </c>
      <c r="BF56" t="inlineStr" s="3">
        <is>
          <t>gamma_s_state2</t>
        </is>
      </c>
      <c r="BG56" t="inlineStr" s="3">
        <is>
          <t>gamma_s_state5</t>
        </is>
      </c>
      <c r="BH56" t="inlineStr" s="3">
        <is>
          <t>P21_state1</t>
        </is>
      </c>
      <c r="BI56" t="inlineStr" s="3">
        <is>
          <t>P21_state2</t>
        </is>
      </c>
      <c r="BJ56" t="inlineStr" s="3">
        <is>
          <t>P21_state5</t>
        </is>
      </c>
      <c r="BK56" t="inlineStr" s="3">
        <is>
          <t>T21_state1</t>
        </is>
      </c>
      <c r="BL56" t="inlineStr" s="3">
        <is>
          <t>T21_state2</t>
        </is>
      </c>
      <c r="BM56" t="inlineStr" s="3">
        <is>
          <t>T21_state5</t>
        </is>
      </c>
      <c r="BN56" t="inlineStr" s="3">
        <is>
          <t>M21_state1</t>
        </is>
      </c>
      <c r="BO56" t="inlineStr" s="3">
        <is>
          <t>M21_state2</t>
        </is>
      </c>
      <c r="BP56" t="inlineStr" s="3">
        <is>
          <t>M21_state5</t>
        </is>
      </c>
      <c r="BQ56" t="inlineStr" s="3">
        <is>
          <t>rho12_state1</t>
        </is>
      </c>
      <c r="BR56" t="inlineStr" s="3">
        <is>
          <t>rho12_state2</t>
        </is>
      </c>
      <c r="BS56" t="inlineStr" s="3">
        <is>
          <t>rho12_state5</t>
        </is>
      </c>
      <c r="BT56" t="inlineStr" s="3">
        <is>
          <t>v2_state1</t>
        </is>
      </c>
      <c r="BU56" t="inlineStr" s="3">
        <is>
          <t>v2_state2</t>
        </is>
      </c>
      <c r="BV56" t="inlineStr" s="3">
        <is>
          <t>v2_state5</t>
        </is>
      </c>
      <c r="BW56" t="inlineStr" s="3">
        <is>
          <t>P52_state1</t>
        </is>
      </c>
      <c r="BX56" t="inlineStr" s="3">
        <is>
          <t>P52_state2</t>
        </is>
      </c>
      <c r="BY56" t="inlineStr" s="3">
        <is>
          <t>P52_state5</t>
        </is>
      </c>
      <c r="BZ56" t="inlineStr" s="3">
        <is>
          <t>T52_state1</t>
        </is>
      </c>
      <c r="CA56" t="inlineStr" s="3">
        <is>
          <t>T52_state2</t>
        </is>
      </c>
      <c r="CB56" t="inlineStr" s="3">
        <is>
          <t>T52_state5</t>
        </is>
      </c>
      <c r="CC56" t="inlineStr" s="3">
        <is>
          <t>M52_state1</t>
        </is>
      </c>
      <c r="CD56" t="inlineStr" s="3">
        <is>
          <t>M52_state2</t>
        </is>
      </c>
      <c r="CE56" t="inlineStr" s="3">
        <is>
          <t>M52_state5</t>
        </is>
      </c>
      <c r="CF56" t="inlineStr" s="3">
        <is>
          <t>rho52_state1</t>
        </is>
      </c>
      <c r="CG56" t="inlineStr" s="3">
        <is>
          <t>rho52_state2</t>
        </is>
      </c>
      <c r="CH56" t="inlineStr" s="3">
        <is>
          <t>rho52_state5</t>
        </is>
      </c>
      <c r="CI56" t="inlineStr" s="3">
        <is>
          <t>u5_p_v2_state1</t>
        </is>
      </c>
      <c r="CJ56" t="inlineStr" s="3">
        <is>
          <t>u5_p_v2_state2</t>
        </is>
      </c>
      <c r="CK56" t="inlineStr" s="3">
        <is>
          <t>u5_p_v2_state5</t>
        </is>
      </c>
      <c r="CL56" t="inlineStr" s="3">
        <is>
          <t>mass_H2_state1</t>
        </is>
      </c>
      <c r="CM56" t="inlineStr" s="3">
        <is>
          <t>mole_H2_state1</t>
        </is>
      </c>
      <c r="CN56" t="inlineStr" s="3">
        <is>
          <t>mass_H2_state2</t>
        </is>
      </c>
      <c r="CO56" t="inlineStr" s="3">
        <is>
          <t>mole_H2_state2</t>
        </is>
      </c>
      <c r="CP56" t="inlineStr" s="3">
        <is>
          <t>mass_H2_state5</t>
        </is>
      </c>
      <c r="CQ56" t="inlineStr" s="3">
        <is>
          <t>mole_H2_state5</t>
        </is>
      </c>
      <c r="CR56" t="inlineStr" s="3">
        <is>
          <t>mass_O2_state1</t>
        </is>
      </c>
      <c r="CS56" t="inlineStr" s="3">
        <is>
          <t>mole_O2_state1</t>
        </is>
      </c>
      <c r="CT56" t="inlineStr" s="3">
        <is>
          <t>mass_O2_state2</t>
        </is>
      </c>
      <c r="CU56" t="inlineStr" s="3">
        <is>
          <t>mole_O2_state2</t>
        </is>
      </c>
      <c r="CV56" t="inlineStr" s="3">
        <is>
          <t>mass_O2_state5</t>
        </is>
      </c>
      <c r="CW56" t="inlineStr" s="3">
        <is>
          <t>mole_O2_state5</t>
        </is>
      </c>
      <c r="CX56" t="inlineStr" s="3">
        <is>
          <t>mass_Ar_state1</t>
        </is>
      </c>
      <c r="CY56" t="inlineStr" s="3">
        <is>
          <t>mole_Ar_state1</t>
        </is>
      </c>
      <c r="CZ56" t="inlineStr" s="3">
        <is>
          <t>mass_Ar_state2</t>
        </is>
      </c>
      <c r="DA56" t="inlineStr" s="3">
        <is>
          <t>mole_Ar_state2</t>
        </is>
      </c>
      <c r="DB56" t="inlineStr" s="3">
        <is>
          <t>mass_Ar_state5</t>
        </is>
      </c>
      <c r="DC56" t="inlineStr" s="3">
        <is>
          <t>mole_Ar_state5</t>
        </is>
      </c>
      <c r="DD56" t="inlineStr" s="3">
        <is>
          <t>mass_H_state1</t>
        </is>
      </c>
      <c r="DE56" t="inlineStr" s="3">
        <is>
          <t>mole_H_state1</t>
        </is>
      </c>
      <c r="DF56" t="inlineStr" s="3">
        <is>
          <t>mass_H_state2</t>
        </is>
      </c>
      <c r="DG56" t="inlineStr" s="3">
        <is>
          <t>mole_H_state2</t>
        </is>
      </c>
      <c r="DH56" t="inlineStr" s="3">
        <is>
          <t>mass_H_state5</t>
        </is>
      </c>
      <c r="DI56" t="inlineStr" s="3">
        <is>
          <t>mole_H_state5</t>
        </is>
      </c>
      <c r="DJ56" t="inlineStr" s="3">
        <is>
          <t>mass_O_state1</t>
        </is>
      </c>
      <c r="DK56" t="inlineStr" s="3">
        <is>
          <t>mole_O_state1</t>
        </is>
      </c>
      <c r="DL56" t="inlineStr" s="3">
        <is>
          <t>mass_O_state2</t>
        </is>
      </c>
      <c r="DM56" t="inlineStr" s="3">
        <is>
          <t>mole_O_state2</t>
        </is>
      </c>
      <c r="DN56" t="inlineStr" s="3">
        <is>
          <t>mass_O_state5</t>
        </is>
      </c>
      <c r="DO56" t="inlineStr" s="3">
        <is>
          <t>mole_O_state5</t>
        </is>
      </c>
      <c r="DP56" t="inlineStr" s="3">
        <is>
          <t>mass_OH_state1</t>
        </is>
      </c>
      <c r="DQ56" t="inlineStr" s="3">
        <is>
          <t>mole_OH_state1</t>
        </is>
      </c>
      <c r="DR56" t="inlineStr" s="3">
        <is>
          <t>mass_OH_state2</t>
        </is>
      </c>
      <c r="DS56" t="inlineStr" s="3">
        <is>
          <t>mole_OH_state2</t>
        </is>
      </c>
      <c r="DT56" t="inlineStr" s="3">
        <is>
          <t>mass_OH_state5</t>
        </is>
      </c>
      <c r="DU56" t="inlineStr" s="3">
        <is>
          <t>mole_OH_state5</t>
        </is>
      </c>
      <c r="DV56" t="inlineStr" s="3">
        <is>
          <t>mass_H2O_state1</t>
        </is>
      </c>
      <c r="DW56" t="inlineStr" s="3">
        <is>
          <t>mole_H2O_state1</t>
        </is>
      </c>
      <c r="DX56" t="inlineStr" s="3">
        <is>
          <t>mass_H2O_state2</t>
        </is>
      </c>
      <c r="DY56" t="inlineStr" s="3">
        <is>
          <t>mole_H2O_state2</t>
        </is>
      </c>
      <c r="DZ56" t="inlineStr" s="3">
        <is>
          <t>mass_H2O_state5</t>
        </is>
      </c>
      <c r="EA56" t="inlineStr" s="3">
        <is>
          <t>mole_H2O_state5</t>
        </is>
      </c>
      <c r="EB56" t="inlineStr" s="3">
        <is>
          <t>mass_HO2_state1</t>
        </is>
      </c>
      <c r="EC56" t="inlineStr" s="3">
        <is>
          <t>mole_HO2_state1</t>
        </is>
      </c>
      <c r="ED56" t="inlineStr" s="3">
        <is>
          <t>mass_HO2_state2</t>
        </is>
      </c>
      <c r="EE56" t="inlineStr" s="3">
        <is>
          <t>mole_HO2_state2</t>
        </is>
      </c>
      <c r="EF56" t="inlineStr" s="3">
        <is>
          <t>mass_HO2_state5</t>
        </is>
      </c>
      <c r="EG56" t="inlineStr" s="3">
        <is>
          <t>mole_HO2_state5</t>
        </is>
      </c>
      <c r="EH56" t="inlineStr" s="3">
        <is>
          <t>mass_H2O2_state1</t>
        </is>
      </c>
      <c r="EI56" t="inlineStr" s="3">
        <is>
          <t>mole_H2O2_state1</t>
        </is>
      </c>
      <c r="EJ56" t="inlineStr" s="3">
        <is>
          <t>mass_H2O2_state2</t>
        </is>
      </c>
      <c r="EK56" t="inlineStr" s="3">
        <is>
          <t>mole_H2O2_state2</t>
        </is>
      </c>
      <c r="EL56" t="inlineStr" s="3">
        <is>
          <t>mass_H2O2_state5</t>
        </is>
      </c>
      <c r="EM56" t="inlineStr" s="3">
        <is>
          <t>mole_H2O2_state5</t>
        </is>
      </c>
      <c r="EN56" t="inlineStr" s="3">
        <is>
          <t>mass_O3_state1</t>
        </is>
      </c>
      <c r="EO56" t="inlineStr" s="3">
        <is>
          <t>mole_O3_state1</t>
        </is>
      </c>
      <c r="EP56" t="inlineStr" s="3">
        <is>
          <t>mass_O3_state2</t>
        </is>
      </c>
      <c r="EQ56" t="inlineStr" s="3">
        <is>
          <t>mole_O3_state2</t>
        </is>
      </c>
      <c r="ER56" t="inlineStr" s="3">
        <is>
          <t>mass_O3_state5</t>
        </is>
      </c>
      <c r="ES56" t="inlineStr" s="3">
        <is>
          <t>mole_O3_state5</t>
        </is>
      </c>
    </row>
    <row r="57" spans="1:6" x14ac:dyDescent="0.2">
      <c r="A57" s="9">
        <v>1</v>
      </c>
      <c r="B57" s="4">
        <v>1100</v>
      </c>
      <c r="C57" s="5">
        <f>$B$18</f>
      </c>
      <c r="D57" s="5">
        <f>$B$20</f>
      </c>
      <c r="E57" t="inlineStr" s="6">
        <is>
          <t>$E$13:$E$15</t>
        </is>
      </c>
      <c r="F57" s="5">
        <f>CEA_SHOCK_SOLVE($A$12:$D$15,C57,D57,B57,,,,,,$E$13:$E$15,$B$5,$B$6,$B$7,,,$A$24:$A$50,$C$24:$C$33,$B$4,$B$8,$B$9)</f>
      </c>
    </row>
    <row r="58" spans="1:6" x14ac:dyDescent="0.2">
      <c r="A58" s="9">
        <v>2</v>
      </c>
      <c r="B58" s="4">
        <v>1200</v>
      </c>
      <c r="C58" s="5">
        <f>$B$18</f>
      </c>
      <c r="D58" s="5">
        <f>$B$20</f>
      </c>
      <c r="E58" t="inlineStr" s="6">
        <is>
          <t>$E$13:$E$15</t>
        </is>
      </c>
      <c r="F58" s="5">
        <f>CEA_SHOCK_SOLVE($A$12:$D$15,C58,D58,B58,,,,,,$E$13:$E$15,$B$5,$B$6,$B$7,,,$A$24:$A$50,$C$24:$C$33,$B$4,$B$8,$B$9)</f>
      </c>
    </row>
    <row r="59" spans="1:6" x14ac:dyDescent="0.2">
      <c r="A59" s="9">
        <v>3</v>
      </c>
      <c r="B59" s="4">
        <v>1250</v>
      </c>
      <c r="C59" s="5">
        <f>$B$18</f>
      </c>
      <c r="D59" s="5">
        <f>$B$20</f>
      </c>
      <c r="E59" t="inlineStr" s="6">
        <is>
          <t>$E$13:$E$15</t>
        </is>
      </c>
      <c r="F59" s="5">
        <f>CEA_SHOCK_SOLVE($A$12:$D$15,C59,D59,B59,,,,,,$E$13:$E$15,$B$5,$B$6,$B$7,,,$A$24:$A$50,$C$24:$C$33,$B$4,$B$8,$B$9)</f>
      </c>
    </row>
    <row r="60" spans="1:6" x14ac:dyDescent="0.2">
      <c r="A60" s="9">
        <v>4</v>
      </c>
      <c r="B60" s="4">
        <v>1300</v>
      </c>
      <c r="C60" s="5">
        <f>$B$18</f>
      </c>
      <c r="D60" s="5">
        <f>$B$20</f>
      </c>
      <c r="E60" t="inlineStr" s="6">
        <is>
          <t>$E$13:$E$15</t>
        </is>
      </c>
      <c r="F60" s="5">
        <f>CEA_SHOCK_SOLVE($A$12:$D$15,C60,D60,B60,,,,,,$E$13:$E$15,$B$5,$B$6,$B$7,,,$A$24:$A$50,$C$24:$C$33,$B$4,$B$8,$B$9)</f>
      </c>
    </row>
    <row r="61" spans="1:6" x14ac:dyDescent="0.2">
      <c r="A61" s="9">
        <v>5</v>
      </c>
      <c r="B61" s="4">
        <v>1350</v>
      </c>
      <c r="C61" s="5">
        <f>$B$18</f>
      </c>
      <c r="D61" s="5">
        <f>$B$20</f>
      </c>
      <c r="E61" t="inlineStr" s="6">
        <is>
          <t>$E$13:$E$15</t>
        </is>
      </c>
      <c r="F61" s="5">
        <f>CEA_SHOCK_SOLVE($A$12:$D$15,C61,D61,B61,,,,,,$E$13:$E$15,$B$5,$B$6,$B$7,,,$A$24:$A$50,$C$24:$C$33,$B$4,$B$8,$B$9)</f>
      </c>
    </row>
    <row r="62" spans="1:6" x14ac:dyDescent="0.2">
      <c r="A62" s="9">
        <v>6</v>
      </c>
      <c r="B62" s="4">
        <v>1400</v>
      </c>
      <c r="C62" s="5">
        <f>$B$18</f>
      </c>
      <c r="D62" s="5">
        <f>$B$20</f>
      </c>
      <c r="E62" t="inlineStr" s="6">
        <is>
          <t>$E$13:$E$15</t>
        </is>
      </c>
      <c r="F62" s="5">
        <f>CEA_SHOCK_SOLVE($A$12:$D$15,C62,D62,B62,,,,,,$E$13:$E$15,$B$5,$B$6,$B$7,,,$A$24:$A$50,$C$24:$C$33,$B$4,$B$8,$B$9)</f>
      </c>
    </row>
  </sheetData>
  <mergeCells count="4">
    <mergeCell ref="A1:H1"/>
    <mergeCell ref="E24:H24"/>
    <mergeCell ref="E25:H25"/>
    <mergeCell ref="E26:H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BF60"/>
  <sheetViews>
    <sheetView workbookViewId="0">
      <pane xSplit="0" ySplit="56" topLeftCell="A57" activePane="bottomRight" state="frozen"/>
      <selection pane="bottomRight"/>
    </sheetView>
  </sheetViews>
  <sheetFormatPr baseColWidth="10" defaultRowHeight="16" x14ac:dyDescent="0.2"/>
  <cols>
    <col min="1" max="1" width="20" customWidth="1"/>
    <col min="2" max="2" width="14" customWidth="1"/>
    <col min="3" max="3" width="14" customWidth="1"/>
    <col min="4" max="4" width="14" customWidth="1"/>
    <col min="5" max="5" width="14" customWidth="1"/>
    <col min="6" max="6" width="12" customWidth="1"/>
    <col min="7" max="7" width="12" customWidth="1"/>
    <col min="8" max="8" width="22" customWidth="1"/>
    <col min="9" max="9" width="15" customWidth="1"/>
    <col min="10" max="10" width="15" customWidth="1"/>
    <col min="11" max="11" width="15" customWidth="1"/>
    <col min="12" max="12" width="15" customWidth="1"/>
    <col min="13" max="13" width="15" customWidth="1"/>
    <col min="14" max="14" width="15" customWidth="1"/>
    <col min="15" max="15" width="15" customWidth="1"/>
    <col min="16" max="16" width="15" customWidth="1"/>
    <col min="17" max="17" width="15" customWidth="1"/>
    <col min="18" max="18" width="15" customWidth="1"/>
    <col min="19" max="19" width="15" customWidth="1"/>
    <col min="20" max="20" width="15" customWidth="1"/>
    <col min="21" max="21" width="15" customWidth="1"/>
    <col min="22" max="22" width="15" customWidth="1"/>
    <col min="23" max="23" width="15" customWidth="1"/>
    <col min="24" max="24" width="15" customWidth="1"/>
    <col min="25" max="25" width="15" customWidth="1"/>
    <col min="26" max="26" width="15" customWidth="1"/>
    <col min="27" max="27" width="15" customWidth="1"/>
    <col min="28" max="28" width="15" customWidth="1"/>
    <col min="29" max="29" width="15" customWidth="1"/>
    <col min="30" max="30" width="15" customWidth="1"/>
    <col min="31" max="31" width="15" customWidth="1"/>
    <col min="32" max="32" width="15" customWidth="1"/>
    <col min="33" max="33" width="15" customWidth="1"/>
    <col min="34" max="34" width="15" customWidth="1"/>
    <col min="35" max="35" width="15" customWidth="1"/>
    <col min="36" max="36" width="15" customWidth="1"/>
    <col min="37" max="37" width="15" customWidth="1"/>
    <col min="38" max="38" width="15" customWidth="1"/>
    <col min="39" max="39" width="15" customWidth="1"/>
    <col min="40" max="40" width="15" customWidth="1"/>
    <col min="41" max="41" width="15" customWidth="1"/>
    <col min="42" max="42" width="15" customWidth="1"/>
    <col min="43" max="43" width="15" customWidth="1"/>
    <col min="44" max="44" width="15" customWidth="1"/>
    <col min="45" max="45" width="15" customWidth="1"/>
    <col min="46" max="46" width="15" customWidth="1"/>
    <col min="47" max="47" width="15" customWidth="1"/>
    <col min="48" max="48" width="15" customWidth="1"/>
    <col min="49" max="49" width="15" customWidth="1"/>
    <col min="50" max="50" width="15" customWidth="1"/>
    <col min="51" max="51" width="15" customWidth="1"/>
    <col min="52" max="52" width="15" customWidth="1"/>
    <col min="53" max="53" width="15" customWidth="1"/>
    <col min="54" max="54" width="15" customWidth="1"/>
    <col min="55" max="55" width="15" customWidth="1"/>
    <col min="56" max="56" width="15" customWidth="1"/>
    <col min="57" max="57" width="15" customWidth="1"/>
    <col min="58" max="58" width="15" customWidth="1"/>
  </cols>
  <sheetData>
    <row r="1" spans="1:1" x14ac:dyDescent="0.2">
      <c r="A1" t="inlineStr" s="1">
        <is>
          <t>Detonation</t>
        </is>
      </c>
    </row>
    <row r="2" spans="1:2" x14ac:dyDescent="0.2">
      <c r="A2" t="inlineStr" s="3">
        <is>
          <t>problem type</t>
        </is>
      </c>
      <c r="B2" t="inlineStr" s="4">
        <is>
          <t>CJ Detonation</t>
        </is>
      </c>
    </row>
    <row r="3" spans="1:2" x14ac:dyDescent="0.2">
      <c r="A3" t="inlineStr" s="3">
        <is>
          <t>reference</t>
        </is>
      </c>
      <c r="B3" t="inlineStr" s="6">
        <is>
          <t>RP-1311 Example 6: Chapman-Jouguet detonation</t>
        </is>
      </c>
    </row>
    <row r="4" spans="1:2" x14ac:dyDescent="0.2">
      <c r="A4" t="inlineStr" s="3">
        <is>
          <t>transport</t>
        </is>
      </c>
      <c r="B4" t="b" s="4">
        <v>1</v>
      </c>
    </row>
    <row r="5" spans="1:2" x14ac:dyDescent="0.2">
      <c r="A5" t="inlineStr" s="3">
        <is>
          <t>frozen</t>
        </is>
      </c>
      <c r="B5" t="b" s="4">
        <v>0</v>
      </c>
    </row>
    <row r="6" spans="1:2" x14ac:dyDescent="0.2">
      <c r="A6" t="inlineStr" s="3">
        <is>
          <t>ions</t>
        </is>
      </c>
      <c r="B6" t="b" s="4">
        <v>0</v>
      </c>
    </row>
    <row r="7" spans="1:2" x14ac:dyDescent="0.2">
      <c r="A7" t="inlineStr" s="3">
        <is>
          <t>include_headers</t>
        </is>
      </c>
      <c r="B7" t="b" s="4">
        <v>0</v>
      </c>
    </row>
    <row r="9" spans="1:1" x14ac:dyDescent="0.2">
      <c r="A9" t="inlineStr" s="2">
        <is>
          <t>Reactants</t>
        </is>
      </c>
    </row>
    <row r="10" spans="1:5" x14ac:dyDescent="0.2">
      <c r="A10" t="inlineStr" s="3">
        <is>
          <t>name</t>
        </is>
      </c>
      <c r="B10" t="inlineStr" s="3">
        <is>
          <t>role</t>
        </is>
      </c>
      <c r="C10" t="inlineStr" s="3">
        <is>
          <t>base_amount</t>
        </is>
      </c>
      <c r="D10" t="inlineStr" s="3">
        <is>
          <t>basis</t>
        </is>
      </c>
      <c r="E10" t="inlineStr" s="3">
        <is>
          <t>base weight</t>
        </is>
      </c>
    </row>
    <row r="11" spans="1:5" x14ac:dyDescent="0.2">
      <c r="A11" t="inlineStr" s="4">
        <is>
          <t>H2</t>
        </is>
      </c>
      <c r="B11" t="inlineStr" s="4">
        <is>
          <t>fuel</t>
        </is>
      </c>
      <c r="C11" s="4">
        <v>1.0</v>
      </c>
      <c r="D11" t="inlineStr" s="4">
        <is>
          <t>weight</t>
        </is>
      </c>
      <c r="E11" s="5">
        <f>INDEX(CEA_WEIGHTS_FROM_OF($A$10:$D$12,$B$16),1,1)</f>
      </c>
    </row>
    <row r="12" spans="1:5" x14ac:dyDescent="0.2">
      <c r="A12" t="inlineStr" s="4">
        <is>
          <t>O2</t>
        </is>
      </c>
      <c r="B12" t="inlineStr" s="4">
        <is>
          <t>oxidizer</t>
        </is>
      </c>
      <c r="C12" s="4">
        <v>1.0</v>
      </c>
      <c r="D12" t="inlineStr" s="4">
        <is>
          <t>weight</t>
        </is>
      </c>
      <c r="E12" s="5">
        <f>INDEX(CEA_WEIGHTS_FROM_OF($A$10:$D$12,$B$16),1,2)</f>
      </c>
    </row>
    <row r="14" spans="1:1" x14ac:dyDescent="0.2">
      <c r="A14" t="inlineStr" s="2">
        <is>
          <t>Mixture controls</t>
        </is>
      </c>
    </row>
    <row r="15" spans="1:2" x14ac:dyDescent="0.2">
      <c r="A15" t="inlineStr" s="3">
        <is>
          <t>r_eq</t>
        </is>
      </c>
      <c r="B15" s="4">
        <v>1.0</v>
      </c>
    </row>
    <row r="16" spans="1:2" x14ac:dyDescent="0.2">
      <c r="A16" t="inlineStr" s="3">
        <is>
          <t>of_ratio</t>
        </is>
      </c>
      <c r="B16" s="5">
        <f>CEA_OF_FROM_EQUIVALENCE($A$10:$D$12,$B$15)</f>
      </c>
    </row>
    <row r="19" spans="1:5" x14ac:dyDescent="0.2">
      <c r="A19" t="inlineStr" s="2">
        <is>
          <t>Requested properties</t>
        </is>
      </c>
      <c r="C19" t="inlineStr" s="2">
        <is>
          <t>Optional species</t>
        </is>
      </c>
      <c r="E19" t="inlineStr" s="2">
        <is>
          <t>Notes</t>
        </is>
      </c>
    </row>
    <row r="20" spans="1:5" x14ac:dyDescent="0.2">
      <c r="A20" t="inlineStr" s="4">
        <is>
          <t>P1</t>
        </is>
      </c>
      <c r="C20" t="inlineStr" s="4">
        <is>
          <t>H2</t>
        </is>
      </c>
      <c r="E20" t="inlineStr" s="6">
        <is>
          <t>Rows implement the 2 T1 x 2 p1 Example 6 grid with transport enabled.</t>
        </is>
      </c>
    </row>
    <row r="21" spans="1:5" x14ac:dyDescent="0.2">
      <c r="A21" t="inlineStr" s="4">
        <is>
          <t>T1</t>
        </is>
      </c>
      <c r="C21" t="inlineStr" s="4">
        <is>
          <t>O2</t>
        </is>
      </c>
      <c r="E21" t="inlineStr" s="6">
        <is>
          <t>The O/F helper is driven by the global equivalence ratio so the mixture remains easy to sweep.</t>
        </is>
      </c>
    </row>
    <row r="22" spans="1:5" x14ac:dyDescent="0.2">
      <c r="A22" t="inlineStr" s="4">
        <is>
          <t>H1</t>
        </is>
      </c>
      <c r="C22" t="inlineStr" s="4">
        <is>
          <t>H</t>
        </is>
      </c>
      <c r="E22" t="inlineStr" s="6">
        <is>
          <t>Output spills horizontally from the status column when opened in supported 64-bit Windows Excel.</t>
        </is>
      </c>
    </row>
    <row r="23" spans="1:3" x14ac:dyDescent="0.2">
      <c r="A23" t="inlineStr" s="4">
        <is>
          <t>M1</t>
        </is>
      </c>
      <c r="C23" t="inlineStr" s="4">
        <is>
          <t>O</t>
        </is>
      </c>
    </row>
    <row r="24" spans="1:3" x14ac:dyDescent="0.2">
      <c r="A24" t="inlineStr" s="4">
        <is>
          <t>gamma1</t>
        </is>
      </c>
      <c r="C24" t="inlineStr" s="4">
        <is>
          <t>OH</t>
        </is>
      </c>
    </row>
    <row r="25" spans="1:3" x14ac:dyDescent="0.2">
      <c r="A25" t="inlineStr" s="4">
        <is>
          <t>sonic_velocity1</t>
        </is>
      </c>
      <c r="C25" t="inlineStr" s="4">
        <is>
          <t>H2O</t>
        </is>
      </c>
    </row>
    <row r="26" spans="1:3" x14ac:dyDescent="0.2">
      <c r="A26" t="inlineStr" s="4">
        <is>
          <t>P</t>
        </is>
      </c>
      <c r="C26" t="inlineStr" s="4">
        <is>
          <t>HO2</t>
        </is>
      </c>
    </row>
    <row r="27" spans="1:3" x14ac:dyDescent="0.2">
      <c r="A27" t="inlineStr" s="4">
        <is>
          <t>T</t>
        </is>
      </c>
      <c r="C27" t="inlineStr" s="4">
        <is>
          <t>H2O2</t>
        </is>
      </c>
    </row>
    <row r="28" spans="1:3" x14ac:dyDescent="0.2">
      <c r="A28" t="inlineStr" s="4">
        <is>
          <t>density</t>
        </is>
      </c>
      <c r="C28" t="inlineStr" s="4">
        <is>
          <t>O3</t>
        </is>
      </c>
    </row>
    <row r="29" spans="1:1" x14ac:dyDescent="0.2">
      <c r="A29" t="inlineStr" s="4">
        <is>
          <t>enthalpy</t>
        </is>
      </c>
    </row>
    <row r="30" spans="1:1" x14ac:dyDescent="0.2">
      <c r="A30" t="inlineStr" s="4">
        <is>
          <t>energy</t>
        </is>
      </c>
    </row>
    <row r="31" spans="1:1" x14ac:dyDescent="0.2">
      <c r="A31" t="inlineStr" s="4">
        <is>
          <t>gibbs_energy</t>
        </is>
      </c>
    </row>
    <row r="32" spans="1:1" x14ac:dyDescent="0.2">
      <c r="A32" t="inlineStr" s="4">
        <is>
          <t>entropy</t>
        </is>
      </c>
    </row>
    <row r="33" spans="1:1" x14ac:dyDescent="0.2">
      <c r="A33" t="inlineStr" s="4">
        <is>
          <t>M</t>
        </is>
      </c>
    </row>
    <row r="34" spans="1:1" x14ac:dyDescent="0.2">
      <c r="A34" t="inlineStr" s="4">
        <is>
          <t>MW</t>
        </is>
      </c>
    </row>
    <row r="35" spans="1:1" x14ac:dyDescent="0.2">
      <c r="A35" t="inlineStr" s="4">
        <is>
          <t>gamma_s</t>
        </is>
      </c>
    </row>
    <row r="36" spans="1:1" x14ac:dyDescent="0.2">
      <c r="A36" t="inlineStr" s="4">
        <is>
          <t>cp_eq</t>
        </is>
      </c>
    </row>
    <row r="37" spans="1:1" x14ac:dyDescent="0.2">
      <c r="A37" t="inlineStr" s="4">
        <is>
          <t>cp_fr</t>
        </is>
      </c>
    </row>
    <row r="38" spans="1:1" x14ac:dyDescent="0.2">
      <c r="A38" t="inlineStr" s="4">
        <is>
          <t>cv_eq</t>
        </is>
      </c>
    </row>
    <row r="39" spans="1:1" x14ac:dyDescent="0.2">
      <c r="A39" t="inlineStr" s="4">
        <is>
          <t>cv_fr</t>
        </is>
      </c>
    </row>
    <row r="40" spans="1:1" x14ac:dyDescent="0.2">
      <c r="A40" t="inlineStr" s="4">
        <is>
          <t>Mach</t>
        </is>
      </c>
    </row>
    <row r="41" spans="1:1" x14ac:dyDescent="0.2">
      <c r="A41" t="inlineStr" s="4">
        <is>
          <t>velocity</t>
        </is>
      </c>
    </row>
    <row r="42" spans="1:1" x14ac:dyDescent="0.2">
      <c r="A42" t="inlineStr" s="4">
        <is>
          <t>sonic_velocity</t>
        </is>
      </c>
    </row>
    <row r="43" spans="1:1" x14ac:dyDescent="0.2">
      <c r="A43" t="inlineStr" s="4">
        <is>
          <t>P_P1</t>
        </is>
      </c>
    </row>
    <row r="44" spans="1:1" x14ac:dyDescent="0.2">
      <c r="A44" t="inlineStr" s="4">
        <is>
          <t>T_T1</t>
        </is>
      </c>
    </row>
    <row r="45" spans="1:1" x14ac:dyDescent="0.2">
      <c r="A45" t="inlineStr" s="4">
        <is>
          <t>M_M1</t>
        </is>
      </c>
    </row>
    <row r="46" spans="1:1" x14ac:dyDescent="0.2">
      <c r="A46" t="inlineStr" s="4">
        <is>
          <t>rho_rho1</t>
        </is>
      </c>
    </row>
    <row r="47" spans="1:1" x14ac:dyDescent="0.2">
      <c r="A47" t="inlineStr" s="4">
        <is>
          <t>viscosity</t>
        </is>
      </c>
    </row>
    <row r="48" spans="1:1" x14ac:dyDescent="0.2">
      <c r="A48" t="inlineStr" s="4">
        <is>
          <t>conductivity_fr</t>
        </is>
      </c>
    </row>
    <row r="49" spans="1:1" x14ac:dyDescent="0.2">
      <c r="A49" t="inlineStr" s="4">
        <is>
          <t>conductivity_eq</t>
        </is>
      </c>
    </row>
    <row r="50" spans="1:1" x14ac:dyDescent="0.2">
      <c r="A50" t="inlineStr" s="4">
        <is>
          <t>Pr_fr</t>
        </is>
      </c>
    </row>
    <row r="51" spans="1:1" x14ac:dyDescent="0.2">
      <c r="A51" t="inlineStr" s="4">
        <is>
          <t>Pr_eq</t>
        </is>
      </c>
    </row>
    <row r="56" spans="1:58" x14ac:dyDescent="0.2">
      <c r="A56" t="inlineStr" s="3">
        <is>
          <t>case</t>
        </is>
      </c>
      <c r="B56" t="inlineStr" s="3">
        <is>
          <t>r_eq</t>
        </is>
      </c>
      <c r="C56" t="inlineStr" s="3">
        <is>
          <t>of_ratio</t>
        </is>
      </c>
      <c r="D56" t="inlineStr" s="3">
        <is>
          <t>T1, K</t>
        </is>
      </c>
      <c r="E56" t="inlineStr" s="3">
        <is>
          <t>p1, bar</t>
        </is>
      </c>
      <c r="F56" t="inlineStr" s="3">
        <is>
          <t>status</t>
        </is>
      </c>
      <c r="G56" t="inlineStr" s="3">
        <is>
          <t>converged</t>
        </is>
      </c>
      <c r="H56" t="inlineStr" s="3">
        <is>
          <t>message</t>
        </is>
      </c>
      <c r="I56" t="inlineStr" s="3">
        <is>
          <t>P1</t>
        </is>
      </c>
      <c r="J56" t="inlineStr" s="3">
        <is>
          <t>T1</t>
        </is>
      </c>
      <c r="K56" t="inlineStr" s="3">
        <is>
          <t>H1</t>
        </is>
      </c>
      <c r="L56" t="inlineStr" s="3">
        <is>
          <t>M1</t>
        </is>
      </c>
      <c r="M56" t="inlineStr" s="3">
        <is>
          <t>gamma1</t>
        </is>
      </c>
      <c r="N56" t="inlineStr" s="3">
        <is>
          <t>sonic_velocity1</t>
        </is>
      </c>
      <c r="O56" t="inlineStr" s="3">
        <is>
          <t>P</t>
        </is>
      </c>
      <c r="P56" t="inlineStr" s="3">
        <is>
          <t>T</t>
        </is>
      </c>
      <c r="Q56" t="inlineStr" s="3">
        <is>
          <t>density</t>
        </is>
      </c>
      <c r="R56" t="inlineStr" s="3">
        <is>
          <t>enthalpy</t>
        </is>
      </c>
      <c r="S56" t="inlineStr" s="3">
        <is>
          <t>energy</t>
        </is>
      </c>
      <c r="T56" t="inlineStr" s="3">
        <is>
          <t>gibbs_energy</t>
        </is>
      </c>
      <c r="U56" t="inlineStr" s="3">
        <is>
          <t>entropy</t>
        </is>
      </c>
      <c r="V56" t="inlineStr" s="3">
        <is>
          <t>M</t>
        </is>
      </c>
      <c r="W56" t="inlineStr" s="3">
        <is>
          <t>MW</t>
        </is>
      </c>
      <c r="X56" t="inlineStr" s="3">
        <is>
          <t>gamma_s</t>
        </is>
      </c>
      <c r="Y56" t="inlineStr" s="3">
        <is>
          <t>cp_eq</t>
        </is>
      </c>
      <c r="Z56" t="inlineStr" s="3">
        <is>
          <t>cp_fr</t>
        </is>
      </c>
      <c r="AA56" t="inlineStr" s="3">
        <is>
          <t>cv_eq</t>
        </is>
      </c>
      <c r="AB56" t="inlineStr" s="3">
        <is>
          <t>cv_fr</t>
        </is>
      </c>
      <c r="AC56" t="inlineStr" s="3">
        <is>
          <t>Mach</t>
        </is>
      </c>
      <c r="AD56" t="inlineStr" s="3">
        <is>
          <t>velocity</t>
        </is>
      </c>
      <c r="AE56" t="inlineStr" s="3">
        <is>
          <t>sonic_velocity</t>
        </is>
      </c>
      <c r="AF56" t="inlineStr" s="3">
        <is>
          <t>P_P1</t>
        </is>
      </c>
      <c r="AG56" t="inlineStr" s="3">
        <is>
          <t>T_T1</t>
        </is>
      </c>
      <c r="AH56" t="inlineStr" s="3">
        <is>
          <t>M_M1</t>
        </is>
      </c>
      <c r="AI56" t="inlineStr" s="3">
        <is>
          <t>rho_rho1</t>
        </is>
      </c>
      <c r="AJ56" t="inlineStr" s="3">
        <is>
          <t>viscosity</t>
        </is>
      </c>
      <c r="AK56" t="inlineStr" s="3">
        <is>
          <t>conductivity_fr</t>
        </is>
      </c>
      <c r="AL56" t="inlineStr" s="3">
        <is>
          <t>conductivity_eq</t>
        </is>
      </c>
      <c r="AM56" t="inlineStr" s="3">
        <is>
          <t>Pr_fr</t>
        </is>
      </c>
      <c r="AN56" t="inlineStr" s="3">
        <is>
          <t>Pr_eq</t>
        </is>
      </c>
      <c r="AO56" t="inlineStr" s="3">
        <is>
          <t>mass_H2</t>
        </is>
      </c>
      <c r="AP56" t="inlineStr" s="3">
        <is>
          <t>mole_H2</t>
        </is>
      </c>
      <c r="AQ56" t="inlineStr" s="3">
        <is>
          <t>mass_O2</t>
        </is>
      </c>
      <c r="AR56" t="inlineStr" s="3">
        <is>
          <t>mole_O2</t>
        </is>
      </c>
      <c r="AS56" t="inlineStr" s="3">
        <is>
          <t>mass_H</t>
        </is>
      </c>
      <c r="AT56" t="inlineStr" s="3">
        <is>
          <t>mole_H</t>
        </is>
      </c>
      <c r="AU56" t="inlineStr" s="3">
        <is>
          <t>mass_O</t>
        </is>
      </c>
      <c r="AV56" t="inlineStr" s="3">
        <is>
          <t>mole_O</t>
        </is>
      </c>
      <c r="AW56" t="inlineStr" s="3">
        <is>
          <t>mass_OH</t>
        </is>
      </c>
      <c r="AX56" t="inlineStr" s="3">
        <is>
          <t>mole_OH</t>
        </is>
      </c>
      <c r="AY56" t="inlineStr" s="3">
        <is>
          <t>mass_H2O</t>
        </is>
      </c>
      <c r="AZ56" t="inlineStr" s="3">
        <is>
          <t>mole_H2O</t>
        </is>
      </c>
      <c r="BA56" t="inlineStr" s="3">
        <is>
          <t>mass_HO2</t>
        </is>
      </c>
      <c r="BB56" t="inlineStr" s="3">
        <is>
          <t>mole_HO2</t>
        </is>
      </c>
      <c r="BC56" t="inlineStr" s="3">
        <is>
          <t>mass_H2O2</t>
        </is>
      </c>
      <c r="BD56" t="inlineStr" s="3">
        <is>
          <t>mole_H2O2</t>
        </is>
      </c>
      <c r="BE56" t="inlineStr" s="3">
        <is>
          <t>mass_O3</t>
        </is>
      </c>
      <c r="BF56" t="inlineStr" s="3">
        <is>
          <t>mole_O3</t>
        </is>
      </c>
    </row>
    <row r="57" spans="1:6" x14ac:dyDescent="0.2">
      <c r="A57" s="9">
        <v>1</v>
      </c>
      <c r="B57" s="5">
        <f>$B$15</f>
      </c>
      <c r="C57" s="5">
        <f>$B$16</f>
      </c>
      <c r="D57" s="4">
        <v>298.15</v>
      </c>
      <c r="E57" s="4">
        <v>1.0</v>
      </c>
      <c r="F57" s="5">
        <f>CEA_DETONATION_SOLVE($A$10:$D$12,D57,E57,C57,,,,,$B$5,,,$A$20:$A$51,$C$20:$C$28,$B$4,$B$6,$B$7)</f>
      </c>
    </row>
    <row r="58" spans="1:6" x14ac:dyDescent="0.2">
      <c r="A58" s="9">
        <v>2</v>
      </c>
      <c r="B58" s="5">
        <f>$B$15</f>
      </c>
      <c r="C58" s="5">
        <f>$B$16</f>
      </c>
      <c r="D58" s="4">
        <v>298.15</v>
      </c>
      <c r="E58" s="4">
        <v>20.0</v>
      </c>
      <c r="F58" s="5">
        <f>CEA_DETONATION_SOLVE($A$10:$D$12,D58,E58,C58,,,,,$B$5,,,$A$20:$A$51,$C$20:$C$28,$B$4,$B$6,$B$7)</f>
      </c>
    </row>
    <row r="59" spans="1:6" x14ac:dyDescent="0.2">
      <c r="A59" s="9">
        <v>3</v>
      </c>
      <c r="B59" s="5">
        <f>$B$15</f>
      </c>
      <c r="C59" s="5">
        <f>$B$16</f>
      </c>
      <c r="D59" s="4">
        <v>500.0</v>
      </c>
      <c r="E59" s="4">
        <v>1.0</v>
      </c>
      <c r="F59" s="5">
        <f>CEA_DETONATION_SOLVE($A$10:$D$12,D59,E59,C59,,,,,$B$5,,,$A$20:$A$51,$C$20:$C$28,$B$4,$B$6,$B$7)</f>
      </c>
    </row>
    <row r="60" spans="1:6" x14ac:dyDescent="0.2">
      <c r="A60" s="9">
        <v>4</v>
      </c>
      <c r="B60" s="5">
        <f>$B$15</f>
      </c>
      <c r="C60" s="5">
        <f>$B$16</f>
      </c>
      <c r="D60" s="4">
        <v>500.0</v>
      </c>
      <c r="E60" s="4">
        <v>20.0</v>
      </c>
      <c r="F60" s="5">
        <f>CEA_DETONATION_SOLVE($A$10:$D$12,D60,E60,C60,,,,,$B$5,,,$A$20:$A$51,$C$20:$C$28,$B$4,$B$6,$B$7)</f>
      </c>
    </row>
  </sheetData>
  <mergeCells count="4">
    <mergeCell ref="A1:H1"/>
    <mergeCell ref="E20:H20"/>
    <mergeCell ref="E21:H21"/>
    <mergeCell ref="E22:H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Equilibrium</vt:lpstr>
      <vt:lpstr>Rocket</vt:lpstr>
      <vt:lpstr>Shock</vt:lpstr>
      <vt:lpstr>Detonation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Leader, Mark K. (GRC-LTA0)</dc:creator>
  <cp:lastModifiedBy>Leader, Mark K. (GRC-LTA0)</cp:lastModifiedBy>
  <dcterms:created xsi:type="dcterms:W3CDTF">2026-05-13T13:20:12Z</dcterms:created>
  <dcterms:modified xsi:type="dcterms:W3CDTF">2026-06-05T15:23:29Z</dcterms:modified>
</cp:coreProperties>
</file>