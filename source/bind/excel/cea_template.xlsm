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<sst xmlns="http://schemas.openxmlformats.org/spreadsheetml/2006/main" count="1" uniqueCount="1">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</sst>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J47"/>
  <sheetViews>
    <sheetView workbookViewId="0">
      <selection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s="3"/>
      <c r="B5" s="4"/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s="3">
        <f>INDEX(CEA_TP_SOLVE($A$7:$D$9,D36,F36,C36,,,,,,$A$12:$A$24,$C$12:$C$31,$B$3,$B$4,TRUE),1,1)</f>
      </c>
      <c r="H35" s="3">
        <f>INDEX(CEA_TP_SOLVE($A$7:$D$9,D36,F36,C36,,,,,,$A$12:$A$24,$C$12:$C$31,$B$3,$B$4,TRUE),1,2)</f>
      </c>
      <c r="I35" s="3">
        <f>INDEX(CEA_TP_SOLVE($A$7:$D$9,D36,F36,C36,,,,,,$A$12:$A$24,$C$12:$C$31,$B$3,$B$4,TRUE),1,3)</f>
      </c>
      <c r="J35" s="3">
        <f>INDEX(CEA_TP_SOLVE($A$7:$D$9,D36,F36,C36,,,,,,$A$12:$A$24,$C$12:$C$31,$B$3,$B$4,TRUE),1,4)</f>
      </c>
      <c r="K35" s="3">
        <f>INDEX(CEA_TP_SOLVE($A$7:$D$9,D36,F36,C36,,,,,,$A$12:$A$24,$C$12:$C$31,$B$3,$B$4,TRUE),1,5)</f>
      </c>
      <c r="L35" s="3">
        <f>INDEX(CEA_TP_SOLVE($A$7:$D$9,D36,F36,C36,,,,,,$A$12:$A$24,$C$12:$C$31,$B$3,$B$4,TRUE),1,6)</f>
      </c>
      <c r="M35" s="3">
        <f>INDEX(CEA_TP_SOLVE($A$7:$D$9,D36,F36,C36,,,,,,$A$12:$A$24,$C$12:$C$31,$B$3,$B$4,TRUE),1,7)</f>
      </c>
      <c r="N35" s="3">
        <f>INDEX(CEA_TP_SOLVE($A$7:$D$9,D36,F36,C36,,,,,,$A$12:$A$24,$C$12:$C$31,$B$3,$B$4,TRUE),1,8)</f>
      </c>
      <c r="O35" s="3">
        <f>INDEX(CEA_TP_SOLVE($A$7:$D$9,D36,F36,C36,,,,,,$A$12:$A$24,$C$12:$C$31,$B$3,$B$4,TRUE),1,9)</f>
      </c>
      <c r="P35" s="3">
        <f>INDEX(CEA_TP_SOLVE($A$7:$D$9,D36,F36,C36,,,,,,$A$12:$A$24,$C$12:$C$31,$B$3,$B$4,TRUE),1,10)</f>
      </c>
      <c r="Q35" s="3">
        <f>INDEX(CEA_TP_SOLVE($A$7:$D$9,D36,F36,C36,,,,,,$A$12:$A$24,$C$12:$C$31,$B$3,$B$4,TRUE),1,11)</f>
      </c>
      <c r="R35" s="3">
        <f>INDEX(CEA_TP_SOLVE($A$7:$D$9,D36,F36,C36,,,,,,$A$12:$A$24,$C$12:$C$31,$B$3,$B$4,TRUE),1,12)</f>
      </c>
      <c r="S35" s="3">
        <f>INDEX(CEA_TP_SOLVE($A$7:$D$9,D36,F36,C36,,,,,,$A$12:$A$24,$C$12:$C$31,$B$3,$B$4,TRUE),1,13)</f>
      </c>
      <c r="T35" s="3">
        <f>INDEX(CEA_TP_SOLVE($A$7:$D$9,D36,F36,C36,,,,,,$A$12:$A$24,$C$12:$C$31,$B$3,$B$4,TRUE),1,14)</f>
      </c>
      <c r="U35" s="3">
        <f>INDEX(CEA_TP_SOLVE($A$7:$D$9,D36,F36,C36,,,,,,$A$12:$A$24,$C$12:$C$31,$B$3,$B$4,TRUE),1,15)</f>
      </c>
      <c r="V35" s="3">
        <f>INDEX(CEA_TP_SOLVE($A$7:$D$9,D36,F36,C36,,,,,,$A$12:$A$24,$C$12:$C$31,$B$3,$B$4,TRUE),1,16)</f>
      </c>
      <c r="W35" s="3">
        <f>INDEX(CEA_TP_SOLVE($A$7:$D$9,D36,F36,C36,,,,,,$A$12:$A$24,$C$12:$C$31,$B$3,$B$4,TRUE),1,17)</f>
      </c>
      <c r="X35" s="3">
        <f>INDEX(CEA_TP_SOLVE($A$7:$D$9,D36,F36,C36,,,,,,$A$12:$A$24,$C$12:$C$31,$B$3,$B$4,TRUE),1,18)</f>
      </c>
      <c r="Y35" s="3">
        <f>INDEX(CEA_TP_SOLVE($A$7:$D$9,D36,F36,C36,,,,,,$A$12:$A$24,$C$12:$C$31,$B$3,$B$4,TRUE),1,19)</f>
      </c>
      <c r="Z35" s="3">
        <f>INDEX(CEA_TP_SOLVE($A$7:$D$9,D36,F36,C36,,,,,,$A$12:$A$24,$C$12:$C$31,$B$3,$B$4,TRUE),1,20)</f>
      </c>
      <c r="AA35" s="3">
        <f>INDEX(CEA_TP_SOLVE($A$7:$D$9,D36,F36,C36,,,,,,$A$12:$A$24,$C$12:$C$31,$B$3,$B$4,TRUE),1,21)</f>
      </c>
      <c r="AB35" s="3">
        <f>INDEX(CEA_TP_SOLVE($A$7:$D$9,D36,F36,C36,,,,,,$A$12:$A$24,$C$12:$C$31,$B$3,$B$4,TRUE),1,22)</f>
      </c>
      <c r="AC35" s="3">
        <f>INDEX(CEA_TP_SOLVE($A$7:$D$9,D36,F36,C36,,,,,,$A$12:$A$24,$C$12:$C$31,$B$3,$B$4,TRUE),1,23)</f>
      </c>
      <c r="AD35" s="3">
        <f>INDEX(CEA_TP_SOLVE($A$7:$D$9,D36,F36,C36,,,,,,$A$12:$A$24,$C$12:$C$31,$B$3,$B$4,TRUE),1,24)</f>
      </c>
      <c r="AE35" s="3">
        <f>INDEX(CEA_TP_SOLVE($A$7:$D$9,D36,F36,C36,,,,,,$A$12:$A$24,$C$12:$C$31,$B$3,$B$4,TRUE),1,25)</f>
      </c>
      <c r="AF35" s="3">
        <f>INDEX(CEA_TP_SOLVE($A$7:$D$9,D36,F36,C36,,,,,,$A$12:$A$24,$C$12:$C$31,$B$3,$B$4,TRUE),1,26)</f>
      </c>
      <c r="AG35" s="3">
        <f>INDEX(CEA_TP_SOLVE($A$7:$D$9,D36,F36,C36,,,,,,$A$12:$A$24,$C$12:$C$31,$B$3,$B$4,TRUE),1,27)</f>
      </c>
      <c r="AH35" s="3">
        <f>INDEX(CEA_TP_SOLVE($A$7:$D$9,D36,F36,C36,,,,,,$A$12:$A$24,$C$12:$C$31,$B$3,$B$4,TRUE),1,28)</f>
      </c>
      <c r="AI35" s="3">
        <f>INDEX(CEA_TP_SOLVE($A$7:$D$9,D36,F36,C36,,,,,,$A$12:$A$24,$C$12:$C$31,$B$3,$B$4,TRUE),1,29)</f>
      </c>
      <c r="AJ35" s="3">
        <f>INDEX(CEA_TP_SOLVE($A$7:$D$9,D36,F36,C36,,,,,,$A$12:$A$24,$C$12:$C$31,$B$3,$B$4,TRUE),1,30)</f>
      </c>
      <c r="AK35" s="3">
        <f>INDEX(CEA_TP_SOLVE($A$7:$D$9,D36,F36,C36,,,,,,$A$12:$A$24,$C$12:$C$31,$B$3,$B$4,TRUE),1,31)</f>
      </c>
      <c r="AL35" s="3">
        <f>INDEX(CEA_TP_SOLVE($A$7:$D$9,D36,F36,C36,,,,,,$A$12:$A$24,$C$12:$C$31,$B$3,$B$4,TRUE),1,32)</f>
      </c>
      <c r="AM35" s="3">
        <f>INDEX(CEA_TP_SOLVE($A$7:$D$9,D36,F36,C36,,,,,,$A$12:$A$24,$C$12:$C$31,$B$3,$B$4,TRUE),1,33)</f>
      </c>
      <c r="AN35" s="3">
        <f>INDEX(CEA_TP_SOLVE($A$7:$D$9,D36,F36,C36,,,,,,$A$12:$A$24,$C$12:$C$31,$B$3,$B$4,TRUE),1,34)</f>
      </c>
      <c r="AO35" s="3">
        <f>INDEX(CEA_TP_SOLVE($A$7:$D$9,D36,F36,C36,,,,,,$A$12:$A$24,$C$12:$C$31,$B$3,$B$4,TRUE),1,35)</f>
      </c>
      <c r="AP35" s="3">
        <f>INDEX(CEA_TP_SOLVE($A$7:$D$9,D36,F36,C36,,,,,,$A$12:$A$24,$C$12:$C$31,$B$3,$B$4,TRUE),1,36)</f>
      </c>
      <c r="AQ35" s="3">
        <f>INDEX(CEA_TP_SOLVE($A$7:$D$9,D36,F36,C36,,,,,,$A$12:$A$24,$C$12:$C$31,$B$3,$B$4,TRUE),1,37)</f>
      </c>
      <c r="AR35" s="3">
        <f>INDEX(CEA_TP_SOLVE($A$7:$D$9,D36,F36,C36,,,,,,$A$12:$A$24,$C$12:$C$31,$B$3,$B$4,TRUE),1,38)</f>
      </c>
      <c r="AS35" s="3">
        <f>INDEX(CEA_TP_SOLVE($A$7:$D$9,D36,F36,C36,,,,,,$A$12:$A$24,$C$12:$C$31,$B$3,$B$4,TRUE),1,39)</f>
      </c>
      <c r="AT35" s="3">
        <f>INDEX(CEA_TP_SOLVE($A$7:$D$9,D36,F36,C36,,,,,,$A$12:$A$24,$C$12:$C$31,$B$3,$B$4,TRUE),1,40)</f>
      </c>
      <c r="AU35" s="3">
        <f>INDEX(CEA_TP_SOLVE($A$7:$D$9,D36,F36,C36,,,,,,$A$12:$A$24,$C$12:$C$31,$B$3,$B$4,TRUE),1,41)</f>
      </c>
      <c r="AV35" s="3">
        <f>INDEX(CEA_TP_SOLVE($A$7:$D$9,D36,F36,C36,,,,,,$A$12:$A$24,$C$12:$C$31,$B$3,$B$4,TRUE),1,42)</f>
      </c>
      <c r="AW35" s="3">
        <f>INDEX(CEA_TP_SOLVE($A$7:$D$9,D36,F36,C36,,,,,,$A$12:$A$24,$C$12:$C$31,$B$3,$B$4,TRUE),1,43)</f>
      </c>
      <c r="AX35" s="3">
        <f>INDEX(CEA_TP_SOLVE($A$7:$D$9,D36,F36,C36,,,,,,$A$12:$A$24,$C$12:$C$31,$B$3,$B$4,TRUE),1,44)</f>
      </c>
      <c r="AY35" s="3">
        <f>INDEX(CEA_TP_SOLVE($A$7:$D$9,D36,F36,C36,,,,,,$A$12:$A$24,$C$12:$C$31,$B$3,$B$4,TRUE),1,45)</f>
      </c>
      <c r="AZ35" s="3">
        <f>INDEX(CEA_TP_SOLVE($A$7:$D$9,D36,F36,C36,,,,,,$A$12:$A$24,$C$12:$C$31,$B$3,$B$4,TRUE),1,46)</f>
      </c>
      <c r="BA35" s="3">
        <f>INDEX(CEA_TP_SOLVE($A$7:$D$9,D36,F36,C36,,,,,,$A$12:$A$24,$C$12:$C$31,$B$3,$B$4,TRUE),1,47)</f>
      </c>
      <c r="BB35" s="3">
        <f>INDEX(CEA_TP_SOLVE($A$7:$D$9,D36,F36,C36,,,,,,$A$12:$A$24,$C$12:$C$31,$B$3,$B$4,TRUE),1,48)</f>
      </c>
      <c r="BC35" s="3">
        <f>INDEX(CEA_TP_SOLVE($A$7:$D$9,D36,F36,C36,,,,,,$A$12:$A$24,$C$12:$C$31,$B$3,$B$4,TRUE),1,49)</f>
      </c>
      <c r="BD35" s="3">
        <f>INDEX(CEA_TP_SOLVE($A$7:$D$9,D36,F36,C36,,,,,,$A$12:$A$24,$C$12:$C$31,$B$3,$B$4,TRUE),1,50)</f>
      </c>
      <c r="BE35" s="3">
        <f>INDEX(CEA_TP_SOLVE($A$7:$D$9,D36,F36,C36,,,,,,$A$12:$A$24,$C$12:$C$31,$B$3,$B$4,TRUE),1,51)</f>
      </c>
      <c r="BF35" s="3">
        <f>INDEX(CEA_TP_SOLVE($A$7:$D$9,D36,F36,C36,,,,,,$A$12:$A$24,$C$12:$C$31,$B$3,$B$4,TRUE),1,52)</f>
      </c>
      <c r="BG35" s="3">
        <f>INDEX(CEA_TP_SOLVE($A$7:$D$9,D36,F36,C36,,,,,,$A$12:$A$24,$C$12:$C$31,$B$3,$B$4,TRUE),1,53)</f>
      </c>
      <c r="BH35" s="3">
        <f>INDEX(CEA_TP_SOLVE($A$7:$D$9,D36,F36,C36,,,,,,$A$12:$A$24,$C$12:$C$31,$B$3,$B$4,TRUE),1,54)</f>
      </c>
      <c r="BI35" s="3">
        <f>INDEX(CEA_TP_SOLVE($A$7:$D$9,D36,F36,C36,,,,,,$A$12:$A$24,$C$12:$C$31,$B$3,$B$4,TRUE),1,55)</f>
      </c>
      <c r="BJ35" s="3">
        <f>INDEX(CEA_TP_SOLVE($A$7:$D$9,D36,F36,C36,,,,,,$A$12:$A$24,$C$12:$C$31,$B$3,$B$4,TRUE),1,56)</f>
      </c>
    </row>
    <row r="36" spans="1:62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INDEX(CEA_TP_SOLVE($A$7:$D$9,D36,F36,C36,,,,,,$A$12:$A$24,$C$12:$C$31,$B$3,$B$4,FALSE),1,1)</f>
      </c>
      <c r="H36" s="5">
        <f>INDEX(CEA_TP_SOLVE($A$7:$D$9,D36,F36,C36,,,,,,$A$12:$A$24,$C$12:$C$31,$B$3,$B$4,FALSE),1,2)</f>
      </c>
      <c r="I36" s="5">
        <f>INDEX(CEA_TP_SOLVE($A$7:$D$9,D36,F36,C36,,,,,,$A$12:$A$24,$C$12:$C$31,$B$3,$B$4,FALSE),1,3)</f>
      </c>
      <c r="J36" s="5">
        <f>INDEX(CEA_TP_SOLVE($A$7:$D$9,D36,F36,C36,,,,,,$A$12:$A$24,$C$12:$C$31,$B$3,$B$4,FALSE),1,4)</f>
      </c>
      <c r="K36" s="5">
        <f>INDEX(CEA_TP_SOLVE($A$7:$D$9,D36,F36,C36,,,,,,$A$12:$A$24,$C$12:$C$31,$B$3,$B$4,FALSE),1,5)</f>
      </c>
      <c r="L36" s="5">
        <f>INDEX(CEA_TP_SOLVE($A$7:$D$9,D36,F36,C36,,,,,,$A$12:$A$24,$C$12:$C$31,$B$3,$B$4,FALSE),1,6)</f>
      </c>
      <c r="M36" s="5">
        <f>INDEX(CEA_TP_SOLVE($A$7:$D$9,D36,F36,C36,,,,,,$A$12:$A$24,$C$12:$C$31,$B$3,$B$4,FALSE),1,7)</f>
      </c>
      <c r="N36" s="5">
        <f>INDEX(CEA_TP_SOLVE($A$7:$D$9,D36,F36,C36,,,,,,$A$12:$A$24,$C$12:$C$31,$B$3,$B$4,FALSE),1,8)</f>
      </c>
      <c r="O36" s="5">
        <f>INDEX(CEA_TP_SOLVE($A$7:$D$9,D36,F36,C36,,,,,,$A$12:$A$24,$C$12:$C$31,$B$3,$B$4,FALSE),1,9)</f>
      </c>
      <c r="P36" s="5">
        <f>INDEX(CEA_TP_SOLVE($A$7:$D$9,D36,F36,C36,,,,,,$A$12:$A$24,$C$12:$C$31,$B$3,$B$4,FALSE),1,10)</f>
      </c>
      <c r="Q36" s="5">
        <f>INDEX(CEA_TP_SOLVE($A$7:$D$9,D36,F36,C36,,,,,,$A$12:$A$24,$C$12:$C$31,$B$3,$B$4,FALSE),1,11)</f>
      </c>
      <c r="R36" s="5">
        <f>INDEX(CEA_TP_SOLVE($A$7:$D$9,D36,F36,C36,,,,,,$A$12:$A$24,$C$12:$C$31,$B$3,$B$4,FALSE),1,12)</f>
      </c>
      <c r="S36" s="5">
        <f>INDEX(CEA_TP_SOLVE($A$7:$D$9,D36,F36,C36,,,,,,$A$12:$A$24,$C$12:$C$31,$B$3,$B$4,FALSE),1,13)</f>
      </c>
      <c r="T36" s="5">
        <f>INDEX(CEA_TP_SOLVE($A$7:$D$9,D36,F36,C36,,,,,,$A$12:$A$24,$C$12:$C$31,$B$3,$B$4,FALSE),1,14)</f>
      </c>
      <c r="U36" s="5">
        <f>INDEX(CEA_TP_SOLVE($A$7:$D$9,D36,F36,C36,,,,,,$A$12:$A$24,$C$12:$C$31,$B$3,$B$4,FALSE),1,15)</f>
      </c>
      <c r="V36" s="5">
        <f>INDEX(CEA_TP_SOLVE($A$7:$D$9,D36,F36,C36,,,,,,$A$12:$A$24,$C$12:$C$31,$B$3,$B$4,FALSE),1,16)</f>
      </c>
      <c r="W36" s="5">
        <f>INDEX(CEA_TP_SOLVE($A$7:$D$9,D36,F36,C36,,,,,,$A$12:$A$24,$C$12:$C$31,$B$3,$B$4,FALSE),1,17)</f>
      </c>
      <c r="X36" s="5">
        <f>INDEX(CEA_TP_SOLVE($A$7:$D$9,D36,F36,C36,,,,,,$A$12:$A$24,$C$12:$C$31,$B$3,$B$4,FALSE),1,18)</f>
      </c>
      <c r="Y36" s="5">
        <f>INDEX(CEA_TP_SOLVE($A$7:$D$9,D36,F36,C36,,,,,,$A$12:$A$24,$C$12:$C$31,$B$3,$B$4,FALSE),1,19)</f>
      </c>
      <c r="Z36" s="5">
        <f>INDEX(CEA_TP_SOLVE($A$7:$D$9,D36,F36,C36,,,,,,$A$12:$A$24,$C$12:$C$31,$B$3,$B$4,FALSE),1,20)</f>
      </c>
      <c r="AA36" s="5">
        <f>INDEX(CEA_TP_SOLVE($A$7:$D$9,D36,F36,C36,,,,,,$A$12:$A$24,$C$12:$C$31,$B$3,$B$4,FALSE),1,21)</f>
      </c>
      <c r="AB36" s="5">
        <f>INDEX(CEA_TP_SOLVE($A$7:$D$9,D36,F36,C36,,,,,,$A$12:$A$24,$C$12:$C$31,$B$3,$B$4,FALSE),1,22)</f>
      </c>
      <c r="AC36" s="5">
        <f>INDEX(CEA_TP_SOLVE($A$7:$D$9,D36,F36,C36,,,,,,$A$12:$A$24,$C$12:$C$31,$B$3,$B$4,FALSE),1,23)</f>
      </c>
      <c r="AD36" s="5">
        <f>INDEX(CEA_TP_SOLVE($A$7:$D$9,D36,F36,C36,,,,,,$A$12:$A$24,$C$12:$C$31,$B$3,$B$4,FALSE),1,24)</f>
      </c>
      <c r="AE36" s="5">
        <f>INDEX(CEA_TP_SOLVE($A$7:$D$9,D36,F36,C36,,,,,,$A$12:$A$24,$C$12:$C$31,$B$3,$B$4,FALSE),1,25)</f>
      </c>
      <c r="AF36" s="5">
        <f>INDEX(CEA_TP_SOLVE($A$7:$D$9,D36,F36,C36,,,,,,$A$12:$A$24,$C$12:$C$31,$B$3,$B$4,FALSE),1,26)</f>
      </c>
      <c r="AG36" s="5">
        <f>INDEX(CEA_TP_SOLVE($A$7:$D$9,D36,F36,C36,,,,,,$A$12:$A$24,$C$12:$C$31,$B$3,$B$4,FALSE),1,27)</f>
      </c>
      <c r="AH36" s="5">
        <f>INDEX(CEA_TP_SOLVE($A$7:$D$9,D36,F36,C36,,,,,,$A$12:$A$24,$C$12:$C$31,$B$3,$B$4,FALSE),1,28)</f>
      </c>
      <c r="AI36" s="5">
        <f>INDEX(CEA_TP_SOLVE($A$7:$D$9,D36,F36,C36,,,,,,$A$12:$A$24,$C$12:$C$31,$B$3,$B$4,FALSE),1,29)</f>
      </c>
      <c r="AJ36" s="5">
        <f>INDEX(CEA_TP_SOLVE($A$7:$D$9,D36,F36,C36,,,,,,$A$12:$A$24,$C$12:$C$31,$B$3,$B$4,FALSE),1,30)</f>
      </c>
      <c r="AK36" s="5">
        <f>INDEX(CEA_TP_SOLVE($A$7:$D$9,D36,F36,C36,,,,,,$A$12:$A$24,$C$12:$C$31,$B$3,$B$4,FALSE),1,31)</f>
      </c>
      <c r="AL36" s="5">
        <f>INDEX(CEA_TP_SOLVE($A$7:$D$9,D36,F36,C36,,,,,,$A$12:$A$24,$C$12:$C$31,$B$3,$B$4,FALSE),1,32)</f>
      </c>
      <c r="AM36" s="5">
        <f>INDEX(CEA_TP_SOLVE($A$7:$D$9,D36,F36,C36,,,,,,$A$12:$A$24,$C$12:$C$31,$B$3,$B$4,FALSE),1,33)</f>
      </c>
      <c r="AN36" s="5">
        <f>INDEX(CEA_TP_SOLVE($A$7:$D$9,D36,F36,C36,,,,,,$A$12:$A$24,$C$12:$C$31,$B$3,$B$4,FALSE),1,34)</f>
      </c>
      <c r="AO36" s="5">
        <f>INDEX(CEA_TP_SOLVE($A$7:$D$9,D36,F36,C36,,,,,,$A$12:$A$24,$C$12:$C$31,$B$3,$B$4,FALSE),1,35)</f>
      </c>
      <c r="AP36" s="5">
        <f>INDEX(CEA_TP_SOLVE($A$7:$D$9,D36,F36,C36,,,,,,$A$12:$A$24,$C$12:$C$31,$B$3,$B$4,FALSE),1,36)</f>
      </c>
      <c r="AQ36" s="5">
        <f>INDEX(CEA_TP_SOLVE($A$7:$D$9,D36,F36,C36,,,,,,$A$12:$A$24,$C$12:$C$31,$B$3,$B$4,FALSE),1,37)</f>
      </c>
      <c r="AR36" s="5">
        <f>INDEX(CEA_TP_SOLVE($A$7:$D$9,D36,F36,C36,,,,,,$A$12:$A$24,$C$12:$C$31,$B$3,$B$4,FALSE),1,38)</f>
      </c>
      <c r="AS36" s="5">
        <f>INDEX(CEA_TP_SOLVE($A$7:$D$9,D36,F36,C36,,,,,,$A$12:$A$24,$C$12:$C$31,$B$3,$B$4,FALSE),1,39)</f>
      </c>
      <c r="AT36" s="5">
        <f>INDEX(CEA_TP_SOLVE($A$7:$D$9,D36,F36,C36,,,,,,$A$12:$A$24,$C$12:$C$31,$B$3,$B$4,FALSE),1,40)</f>
      </c>
      <c r="AU36" s="5">
        <f>INDEX(CEA_TP_SOLVE($A$7:$D$9,D36,F36,C36,,,,,,$A$12:$A$24,$C$12:$C$31,$B$3,$B$4,FALSE),1,41)</f>
      </c>
      <c r="AV36" s="5">
        <f>INDEX(CEA_TP_SOLVE($A$7:$D$9,D36,F36,C36,,,,,,$A$12:$A$24,$C$12:$C$31,$B$3,$B$4,FALSE),1,42)</f>
      </c>
      <c r="AW36" s="5">
        <f>INDEX(CEA_TP_SOLVE($A$7:$D$9,D36,F36,C36,,,,,,$A$12:$A$24,$C$12:$C$31,$B$3,$B$4,FALSE),1,43)</f>
      </c>
      <c r="AX36" s="5">
        <f>INDEX(CEA_TP_SOLVE($A$7:$D$9,D36,F36,C36,,,,,,$A$12:$A$24,$C$12:$C$31,$B$3,$B$4,FALSE),1,44)</f>
      </c>
      <c r="AY36" s="5">
        <f>INDEX(CEA_TP_SOLVE($A$7:$D$9,D36,F36,C36,,,,,,$A$12:$A$24,$C$12:$C$31,$B$3,$B$4,FALSE),1,45)</f>
      </c>
      <c r="AZ36" s="5">
        <f>INDEX(CEA_TP_SOLVE($A$7:$D$9,D36,F36,C36,,,,,,$A$12:$A$24,$C$12:$C$31,$B$3,$B$4,FALSE),1,46)</f>
      </c>
      <c r="BA36" s="5">
        <f>INDEX(CEA_TP_SOLVE($A$7:$D$9,D36,F36,C36,,,,,,$A$12:$A$24,$C$12:$C$31,$B$3,$B$4,FALSE),1,47)</f>
      </c>
      <c r="BB36" s="5">
        <f>INDEX(CEA_TP_SOLVE($A$7:$D$9,D36,F36,C36,,,,,,$A$12:$A$24,$C$12:$C$31,$B$3,$B$4,FALSE),1,48)</f>
      </c>
      <c r="BC36" s="5">
        <f>INDEX(CEA_TP_SOLVE($A$7:$D$9,D36,F36,C36,,,,,,$A$12:$A$24,$C$12:$C$31,$B$3,$B$4,FALSE),1,49)</f>
      </c>
      <c r="BD36" s="5">
        <f>INDEX(CEA_TP_SOLVE($A$7:$D$9,D36,F36,C36,,,,,,$A$12:$A$24,$C$12:$C$31,$B$3,$B$4,FALSE),1,50)</f>
      </c>
      <c r="BE36" s="5">
        <f>INDEX(CEA_TP_SOLVE($A$7:$D$9,D36,F36,C36,,,,,,$A$12:$A$24,$C$12:$C$31,$B$3,$B$4,FALSE),1,51)</f>
      </c>
      <c r="BF36" s="5">
        <f>INDEX(CEA_TP_SOLVE($A$7:$D$9,D36,F36,C36,,,,,,$A$12:$A$24,$C$12:$C$31,$B$3,$B$4,FALSE),1,52)</f>
      </c>
      <c r="BG36" s="5">
        <f>INDEX(CEA_TP_SOLVE($A$7:$D$9,D36,F36,C36,,,,,,$A$12:$A$24,$C$12:$C$31,$B$3,$B$4,FALSE),1,53)</f>
      </c>
      <c r="BH36" s="5">
        <f>INDEX(CEA_TP_SOLVE($A$7:$D$9,D36,F36,C36,,,,,,$A$12:$A$24,$C$12:$C$31,$B$3,$B$4,FALSE),1,54)</f>
      </c>
      <c r="BI36" s="5">
        <f>INDEX(CEA_TP_SOLVE($A$7:$D$9,D36,F36,C36,,,,,,$A$12:$A$24,$C$12:$C$31,$B$3,$B$4,FALSE),1,55)</f>
      </c>
      <c r="BJ36" s="5">
        <f>INDEX(CEA_TP_SOLVE($A$7:$D$9,D36,F36,C36,,,,,,$A$12:$A$24,$C$12:$C$31,$B$3,$B$4,FALSE),1,56)</f>
      </c>
    </row>
    <row r="37" spans="1:62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INDEX(CEA_TP_SOLVE($A$7:$D$9,D37,F37,C37,,,,,,$A$12:$A$24,$C$12:$C$31,$B$3,$B$4,FALSE),1,1)</f>
      </c>
      <c r="H37" s="5">
        <f>INDEX(CEA_TP_SOLVE($A$7:$D$9,D37,F37,C37,,,,,,$A$12:$A$24,$C$12:$C$31,$B$3,$B$4,FALSE),1,2)</f>
      </c>
      <c r="I37" s="5">
        <f>INDEX(CEA_TP_SOLVE($A$7:$D$9,D37,F37,C37,,,,,,$A$12:$A$24,$C$12:$C$31,$B$3,$B$4,FALSE),1,3)</f>
      </c>
      <c r="J37" s="5">
        <f>INDEX(CEA_TP_SOLVE($A$7:$D$9,D37,F37,C37,,,,,,$A$12:$A$24,$C$12:$C$31,$B$3,$B$4,FALSE),1,4)</f>
      </c>
      <c r="K37" s="5">
        <f>INDEX(CEA_TP_SOLVE($A$7:$D$9,D37,F37,C37,,,,,,$A$12:$A$24,$C$12:$C$31,$B$3,$B$4,FALSE),1,5)</f>
      </c>
      <c r="L37" s="5">
        <f>INDEX(CEA_TP_SOLVE($A$7:$D$9,D37,F37,C37,,,,,,$A$12:$A$24,$C$12:$C$31,$B$3,$B$4,FALSE),1,6)</f>
      </c>
      <c r="M37" s="5">
        <f>INDEX(CEA_TP_SOLVE($A$7:$D$9,D37,F37,C37,,,,,,$A$12:$A$24,$C$12:$C$31,$B$3,$B$4,FALSE),1,7)</f>
      </c>
      <c r="N37" s="5">
        <f>INDEX(CEA_TP_SOLVE($A$7:$D$9,D37,F37,C37,,,,,,$A$12:$A$24,$C$12:$C$31,$B$3,$B$4,FALSE),1,8)</f>
      </c>
      <c r="O37" s="5">
        <f>INDEX(CEA_TP_SOLVE($A$7:$D$9,D37,F37,C37,,,,,,$A$12:$A$24,$C$12:$C$31,$B$3,$B$4,FALSE),1,9)</f>
      </c>
      <c r="P37" s="5">
        <f>INDEX(CEA_TP_SOLVE($A$7:$D$9,D37,F37,C37,,,,,,$A$12:$A$24,$C$12:$C$31,$B$3,$B$4,FALSE),1,10)</f>
      </c>
      <c r="Q37" s="5">
        <f>INDEX(CEA_TP_SOLVE($A$7:$D$9,D37,F37,C37,,,,,,$A$12:$A$24,$C$12:$C$31,$B$3,$B$4,FALSE),1,11)</f>
      </c>
      <c r="R37" s="5">
        <f>INDEX(CEA_TP_SOLVE($A$7:$D$9,D37,F37,C37,,,,,,$A$12:$A$24,$C$12:$C$31,$B$3,$B$4,FALSE),1,12)</f>
      </c>
      <c r="S37" s="5">
        <f>INDEX(CEA_TP_SOLVE($A$7:$D$9,D37,F37,C37,,,,,,$A$12:$A$24,$C$12:$C$31,$B$3,$B$4,FALSE),1,13)</f>
      </c>
      <c r="T37" s="5">
        <f>INDEX(CEA_TP_SOLVE($A$7:$D$9,D37,F37,C37,,,,,,$A$12:$A$24,$C$12:$C$31,$B$3,$B$4,FALSE),1,14)</f>
      </c>
      <c r="U37" s="5">
        <f>INDEX(CEA_TP_SOLVE($A$7:$D$9,D37,F37,C37,,,,,,$A$12:$A$24,$C$12:$C$31,$B$3,$B$4,FALSE),1,15)</f>
      </c>
      <c r="V37" s="5">
        <f>INDEX(CEA_TP_SOLVE($A$7:$D$9,D37,F37,C37,,,,,,$A$12:$A$24,$C$12:$C$31,$B$3,$B$4,FALSE),1,16)</f>
      </c>
      <c r="W37" s="5">
        <f>INDEX(CEA_TP_SOLVE($A$7:$D$9,D37,F37,C37,,,,,,$A$12:$A$24,$C$12:$C$31,$B$3,$B$4,FALSE),1,17)</f>
      </c>
      <c r="X37" s="5">
        <f>INDEX(CEA_TP_SOLVE($A$7:$D$9,D37,F37,C37,,,,,,$A$12:$A$24,$C$12:$C$31,$B$3,$B$4,FALSE),1,18)</f>
      </c>
      <c r="Y37" s="5">
        <f>INDEX(CEA_TP_SOLVE($A$7:$D$9,D37,F37,C37,,,,,,$A$12:$A$24,$C$12:$C$31,$B$3,$B$4,FALSE),1,19)</f>
      </c>
      <c r="Z37" s="5">
        <f>INDEX(CEA_TP_SOLVE($A$7:$D$9,D37,F37,C37,,,,,,$A$12:$A$24,$C$12:$C$31,$B$3,$B$4,FALSE),1,20)</f>
      </c>
      <c r="AA37" s="5">
        <f>INDEX(CEA_TP_SOLVE($A$7:$D$9,D37,F37,C37,,,,,,$A$12:$A$24,$C$12:$C$31,$B$3,$B$4,FALSE),1,21)</f>
      </c>
      <c r="AB37" s="5">
        <f>INDEX(CEA_TP_SOLVE($A$7:$D$9,D37,F37,C37,,,,,,$A$12:$A$24,$C$12:$C$31,$B$3,$B$4,FALSE),1,22)</f>
      </c>
      <c r="AC37" s="5">
        <f>INDEX(CEA_TP_SOLVE($A$7:$D$9,D37,F37,C37,,,,,,$A$12:$A$24,$C$12:$C$31,$B$3,$B$4,FALSE),1,23)</f>
      </c>
      <c r="AD37" s="5">
        <f>INDEX(CEA_TP_SOLVE($A$7:$D$9,D37,F37,C37,,,,,,$A$12:$A$24,$C$12:$C$31,$B$3,$B$4,FALSE),1,24)</f>
      </c>
      <c r="AE37" s="5">
        <f>INDEX(CEA_TP_SOLVE($A$7:$D$9,D37,F37,C37,,,,,,$A$12:$A$24,$C$12:$C$31,$B$3,$B$4,FALSE),1,25)</f>
      </c>
      <c r="AF37" s="5">
        <f>INDEX(CEA_TP_SOLVE($A$7:$D$9,D37,F37,C37,,,,,,$A$12:$A$24,$C$12:$C$31,$B$3,$B$4,FALSE),1,26)</f>
      </c>
      <c r="AG37" s="5">
        <f>INDEX(CEA_TP_SOLVE($A$7:$D$9,D37,F37,C37,,,,,,$A$12:$A$24,$C$12:$C$31,$B$3,$B$4,FALSE),1,27)</f>
      </c>
      <c r="AH37" s="5">
        <f>INDEX(CEA_TP_SOLVE($A$7:$D$9,D37,F37,C37,,,,,,$A$12:$A$24,$C$12:$C$31,$B$3,$B$4,FALSE),1,28)</f>
      </c>
      <c r="AI37" s="5">
        <f>INDEX(CEA_TP_SOLVE($A$7:$D$9,D37,F37,C37,,,,,,$A$12:$A$24,$C$12:$C$31,$B$3,$B$4,FALSE),1,29)</f>
      </c>
      <c r="AJ37" s="5">
        <f>INDEX(CEA_TP_SOLVE($A$7:$D$9,D37,F37,C37,,,,,,$A$12:$A$24,$C$12:$C$31,$B$3,$B$4,FALSE),1,30)</f>
      </c>
      <c r="AK37" s="5">
        <f>INDEX(CEA_TP_SOLVE($A$7:$D$9,D37,F37,C37,,,,,,$A$12:$A$24,$C$12:$C$31,$B$3,$B$4,FALSE),1,31)</f>
      </c>
      <c r="AL37" s="5">
        <f>INDEX(CEA_TP_SOLVE($A$7:$D$9,D37,F37,C37,,,,,,$A$12:$A$24,$C$12:$C$31,$B$3,$B$4,FALSE),1,32)</f>
      </c>
      <c r="AM37" s="5">
        <f>INDEX(CEA_TP_SOLVE($A$7:$D$9,D37,F37,C37,,,,,,$A$12:$A$24,$C$12:$C$31,$B$3,$B$4,FALSE),1,33)</f>
      </c>
      <c r="AN37" s="5">
        <f>INDEX(CEA_TP_SOLVE($A$7:$D$9,D37,F37,C37,,,,,,$A$12:$A$24,$C$12:$C$31,$B$3,$B$4,FALSE),1,34)</f>
      </c>
      <c r="AO37" s="5">
        <f>INDEX(CEA_TP_SOLVE($A$7:$D$9,D37,F37,C37,,,,,,$A$12:$A$24,$C$12:$C$31,$B$3,$B$4,FALSE),1,35)</f>
      </c>
      <c r="AP37" s="5">
        <f>INDEX(CEA_TP_SOLVE($A$7:$D$9,D37,F37,C37,,,,,,$A$12:$A$24,$C$12:$C$31,$B$3,$B$4,FALSE),1,36)</f>
      </c>
      <c r="AQ37" s="5">
        <f>INDEX(CEA_TP_SOLVE($A$7:$D$9,D37,F37,C37,,,,,,$A$12:$A$24,$C$12:$C$31,$B$3,$B$4,FALSE),1,37)</f>
      </c>
      <c r="AR37" s="5">
        <f>INDEX(CEA_TP_SOLVE($A$7:$D$9,D37,F37,C37,,,,,,$A$12:$A$24,$C$12:$C$31,$B$3,$B$4,FALSE),1,38)</f>
      </c>
      <c r="AS37" s="5">
        <f>INDEX(CEA_TP_SOLVE($A$7:$D$9,D37,F37,C37,,,,,,$A$12:$A$24,$C$12:$C$31,$B$3,$B$4,FALSE),1,39)</f>
      </c>
      <c r="AT37" s="5">
        <f>INDEX(CEA_TP_SOLVE($A$7:$D$9,D37,F37,C37,,,,,,$A$12:$A$24,$C$12:$C$31,$B$3,$B$4,FALSE),1,40)</f>
      </c>
      <c r="AU37" s="5">
        <f>INDEX(CEA_TP_SOLVE($A$7:$D$9,D37,F37,C37,,,,,,$A$12:$A$24,$C$12:$C$31,$B$3,$B$4,FALSE),1,41)</f>
      </c>
      <c r="AV37" s="5">
        <f>INDEX(CEA_TP_SOLVE($A$7:$D$9,D37,F37,C37,,,,,,$A$12:$A$24,$C$12:$C$31,$B$3,$B$4,FALSE),1,42)</f>
      </c>
      <c r="AW37" s="5">
        <f>INDEX(CEA_TP_SOLVE($A$7:$D$9,D37,F37,C37,,,,,,$A$12:$A$24,$C$12:$C$31,$B$3,$B$4,FALSE),1,43)</f>
      </c>
      <c r="AX37" s="5">
        <f>INDEX(CEA_TP_SOLVE($A$7:$D$9,D37,F37,C37,,,,,,$A$12:$A$24,$C$12:$C$31,$B$3,$B$4,FALSE),1,44)</f>
      </c>
      <c r="AY37" s="5">
        <f>INDEX(CEA_TP_SOLVE($A$7:$D$9,D37,F37,C37,,,,,,$A$12:$A$24,$C$12:$C$31,$B$3,$B$4,FALSE),1,45)</f>
      </c>
      <c r="AZ37" s="5">
        <f>INDEX(CEA_TP_SOLVE($A$7:$D$9,D37,F37,C37,,,,,,$A$12:$A$24,$C$12:$C$31,$B$3,$B$4,FALSE),1,46)</f>
      </c>
      <c r="BA37" s="5">
        <f>INDEX(CEA_TP_SOLVE($A$7:$D$9,D37,F37,C37,,,,,,$A$12:$A$24,$C$12:$C$31,$B$3,$B$4,FALSE),1,47)</f>
      </c>
      <c r="BB37" s="5">
        <f>INDEX(CEA_TP_SOLVE($A$7:$D$9,D37,F37,C37,,,,,,$A$12:$A$24,$C$12:$C$31,$B$3,$B$4,FALSE),1,48)</f>
      </c>
      <c r="BC37" s="5">
        <f>INDEX(CEA_TP_SOLVE($A$7:$D$9,D37,F37,C37,,,,,,$A$12:$A$24,$C$12:$C$31,$B$3,$B$4,FALSE),1,49)</f>
      </c>
      <c r="BD37" s="5">
        <f>INDEX(CEA_TP_SOLVE($A$7:$D$9,D37,F37,C37,,,,,,$A$12:$A$24,$C$12:$C$31,$B$3,$B$4,FALSE),1,50)</f>
      </c>
      <c r="BE37" s="5">
        <f>INDEX(CEA_TP_SOLVE($A$7:$D$9,D37,F37,C37,,,,,,$A$12:$A$24,$C$12:$C$31,$B$3,$B$4,FALSE),1,51)</f>
      </c>
      <c r="BF37" s="5">
        <f>INDEX(CEA_TP_SOLVE($A$7:$D$9,D37,F37,C37,,,,,,$A$12:$A$24,$C$12:$C$31,$B$3,$B$4,FALSE),1,52)</f>
      </c>
      <c r="BG37" s="5">
        <f>INDEX(CEA_TP_SOLVE($A$7:$D$9,D37,F37,C37,,,,,,$A$12:$A$24,$C$12:$C$31,$B$3,$B$4,FALSE),1,53)</f>
      </c>
      <c r="BH37" s="5">
        <f>INDEX(CEA_TP_SOLVE($A$7:$D$9,D37,F37,C37,,,,,,$A$12:$A$24,$C$12:$C$31,$B$3,$B$4,FALSE),1,54)</f>
      </c>
      <c r="BI37" s="5">
        <f>INDEX(CEA_TP_SOLVE($A$7:$D$9,D37,F37,C37,,,,,,$A$12:$A$24,$C$12:$C$31,$B$3,$B$4,FALSE),1,55)</f>
      </c>
      <c r="BJ37" s="5">
        <f>INDEX(CEA_TP_SOLVE($A$7:$D$9,D37,F37,C37,,,,,,$A$12:$A$24,$C$12:$C$31,$B$3,$B$4,FALSE),1,56)</f>
      </c>
    </row>
    <row r="38" spans="1:62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INDEX(CEA_TP_SOLVE($A$7:$D$9,D38,F38,C38,,,,,,$A$12:$A$24,$C$12:$C$31,$B$3,$B$4,FALSE),1,1)</f>
      </c>
      <c r="H38" s="5">
        <f>INDEX(CEA_TP_SOLVE($A$7:$D$9,D38,F38,C38,,,,,,$A$12:$A$24,$C$12:$C$31,$B$3,$B$4,FALSE),1,2)</f>
      </c>
      <c r="I38" s="5">
        <f>INDEX(CEA_TP_SOLVE($A$7:$D$9,D38,F38,C38,,,,,,$A$12:$A$24,$C$12:$C$31,$B$3,$B$4,FALSE),1,3)</f>
      </c>
      <c r="J38" s="5">
        <f>INDEX(CEA_TP_SOLVE($A$7:$D$9,D38,F38,C38,,,,,,$A$12:$A$24,$C$12:$C$31,$B$3,$B$4,FALSE),1,4)</f>
      </c>
      <c r="K38" s="5">
        <f>INDEX(CEA_TP_SOLVE($A$7:$D$9,D38,F38,C38,,,,,,$A$12:$A$24,$C$12:$C$31,$B$3,$B$4,FALSE),1,5)</f>
      </c>
      <c r="L38" s="5">
        <f>INDEX(CEA_TP_SOLVE($A$7:$D$9,D38,F38,C38,,,,,,$A$12:$A$24,$C$12:$C$31,$B$3,$B$4,FALSE),1,6)</f>
      </c>
      <c r="M38" s="5">
        <f>INDEX(CEA_TP_SOLVE($A$7:$D$9,D38,F38,C38,,,,,,$A$12:$A$24,$C$12:$C$31,$B$3,$B$4,FALSE),1,7)</f>
      </c>
      <c r="N38" s="5">
        <f>INDEX(CEA_TP_SOLVE($A$7:$D$9,D38,F38,C38,,,,,,$A$12:$A$24,$C$12:$C$31,$B$3,$B$4,FALSE),1,8)</f>
      </c>
      <c r="O38" s="5">
        <f>INDEX(CEA_TP_SOLVE($A$7:$D$9,D38,F38,C38,,,,,,$A$12:$A$24,$C$12:$C$31,$B$3,$B$4,FALSE),1,9)</f>
      </c>
      <c r="P38" s="5">
        <f>INDEX(CEA_TP_SOLVE($A$7:$D$9,D38,F38,C38,,,,,,$A$12:$A$24,$C$12:$C$31,$B$3,$B$4,FALSE),1,10)</f>
      </c>
      <c r="Q38" s="5">
        <f>INDEX(CEA_TP_SOLVE($A$7:$D$9,D38,F38,C38,,,,,,$A$12:$A$24,$C$12:$C$31,$B$3,$B$4,FALSE),1,11)</f>
      </c>
      <c r="R38" s="5">
        <f>INDEX(CEA_TP_SOLVE($A$7:$D$9,D38,F38,C38,,,,,,$A$12:$A$24,$C$12:$C$31,$B$3,$B$4,FALSE),1,12)</f>
      </c>
      <c r="S38" s="5">
        <f>INDEX(CEA_TP_SOLVE($A$7:$D$9,D38,F38,C38,,,,,,$A$12:$A$24,$C$12:$C$31,$B$3,$B$4,FALSE),1,13)</f>
      </c>
      <c r="T38" s="5">
        <f>INDEX(CEA_TP_SOLVE($A$7:$D$9,D38,F38,C38,,,,,,$A$12:$A$24,$C$12:$C$31,$B$3,$B$4,FALSE),1,14)</f>
      </c>
      <c r="U38" s="5">
        <f>INDEX(CEA_TP_SOLVE($A$7:$D$9,D38,F38,C38,,,,,,$A$12:$A$24,$C$12:$C$31,$B$3,$B$4,FALSE),1,15)</f>
      </c>
      <c r="V38" s="5">
        <f>INDEX(CEA_TP_SOLVE($A$7:$D$9,D38,F38,C38,,,,,,$A$12:$A$24,$C$12:$C$31,$B$3,$B$4,FALSE),1,16)</f>
      </c>
      <c r="W38" s="5">
        <f>INDEX(CEA_TP_SOLVE($A$7:$D$9,D38,F38,C38,,,,,,$A$12:$A$24,$C$12:$C$31,$B$3,$B$4,FALSE),1,17)</f>
      </c>
      <c r="X38" s="5">
        <f>INDEX(CEA_TP_SOLVE($A$7:$D$9,D38,F38,C38,,,,,,$A$12:$A$24,$C$12:$C$31,$B$3,$B$4,FALSE),1,18)</f>
      </c>
      <c r="Y38" s="5">
        <f>INDEX(CEA_TP_SOLVE($A$7:$D$9,D38,F38,C38,,,,,,$A$12:$A$24,$C$12:$C$31,$B$3,$B$4,FALSE),1,19)</f>
      </c>
      <c r="Z38" s="5">
        <f>INDEX(CEA_TP_SOLVE($A$7:$D$9,D38,F38,C38,,,,,,$A$12:$A$24,$C$12:$C$31,$B$3,$B$4,FALSE),1,20)</f>
      </c>
      <c r="AA38" s="5">
        <f>INDEX(CEA_TP_SOLVE($A$7:$D$9,D38,F38,C38,,,,,,$A$12:$A$24,$C$12:$C$31,$B$3,$B$4,FALSE),1,21)</f>
      </c>
      <c r="AB38" s="5">
        <f>INDEX(CEA_TP_SOLVE($A$7:$D$9,D38,F38,C38,,,,,,$A$12:$A$24,$C$12:$C$31,$B$3,$B$4,FALSE),1,22)</f>
      </c>
      <c r="AC38" s="5">
        <f>INDEX(CEA_TP_SOLVE($A$7:$D$9,D38,F38,C38,,,,,,$A$12:$A$24,$C$12:$C$31,$B$3,$B$4,FALSE),1,23)</f>
      </c>
      <c r="AD38" s="5">
        <f>INDEX(CEA_TP_SOLVE($A$7:$D$9,D38,F38,C38,,,,,,$A$12:$A$24,$C$12:$C$31,$B$3,$B$4,FALSE),1,24)</f>
      </c>
      <c r="AE38" s="5">
        <f>INDEX(CEA_TP_SOLVE($A$7:$D$9,D38,F38,C38,,,,,,$A$12:$A$24,$C$12:$C$31,$B$3,$B$4,FALSE),1,25)</f>
      </c>
      <c r="AF38" s="5">
        <f>INDEX(CEA_TP_SOLVE($A$7:$D$9,D38,F38,C38,,,,,,$A$12:$A$24,$C$12:$C$31,$B$3,$B$4,FALSE),1,26)</f>
      </c>
      <c r="AG38" s="5">
        <f>INDEX(CEA_TP_SOLVE($A$7:$D$9,D38,F38,C38,,,,,,$A$12:$A$24,$C$12:$C$31,$B$3,$B$4,FALSE),1,27)</f>
      </c>
      <c r="AH38" s="5">
        <f>INDEX(CEA_TP_SOLVE($A$7:$D$9,D38,F38,C38,,,,,,$A$12:$A$24,$C$12:$C$31,$B$3,$B$4,FALSE),1,28)</f>
      </c>
      <c r="AI38" s="5">
        <f>INDEX(CEA_TP_SOLVE($A$7:$D$9,D38,F38,C38,,,,,,$A$12:$A$24,$C$12:$C$31,$B$3,$B$4,FALSE),1,29)</f>
      </c>
      <c r="AJ38" s="5">
        <f>INDEX(CEA_TP_SOLVE($A$7:$D$9,D38,F38,C38,,,,,,$A$12:$A$24,$C$12:$C$31,$B$3,$B$4,FALSE),1,30)</f>
      </c>
      <c r="AK38" s="5">
        <f>INDEX(CEA_TP_SOLVE($A$7:$D$9,D38,F38,C38,,,,,,$A$12:$A$24,$C$12:$C$31,$B$3,$B$4,FALSE),1,31)</f>
      </c>
      <c r="AL38" s="5">
        <f>INDEX(CEA_TP_SOLVE($A$7:$D$9,D38,F38,C38,,,,,,$A$12:$A$24,$C$12:$C$31,$B$3,$B$4,FALSE),1,32)</f>
      </c>
      <c r="AM38" s="5">
        <f>INDEX(CEA_TP_SOLVE($A$7:$D$9,D38,F38,C38,,,,,,$A$12:$A$24,$C$12:$C$31,$B$3,$B$4,FALSE),1,33)</f>
      </c>
      <c r="AN38" s="5">
        <f>INDEX(CEA_TP_SOLVE($A$7:$D$9,D38,F38,C38,,,,,,$A$12:$A$24,$C$12:$C$31,$B$3,$B$4,FALSE),1,34)</f>
      </c>
      <c r="AO38" s="5">
        <f>INDEX(CEA_TP_SOLVE($A$7:$D$9,D38,F38,C38,,,,,,$A$12:$A$24,$C$12:$C$31,$B$3,$B$4,FALSE),1,35)</f>
      </c>
      <c r="AP38" s="5">
        <f>INDEX(CEA_TP_SOLVE($A$7:$D$9,D38,F38,C38,,,,,,$A$12:$A$24,$C$12:$C$31,$B$3,$B$4,FALSE),1,36)</f>
      </c>
      <c r="AQ38" s="5">
        <f>INDEX(CEA_TP_SOLVE($A$7:$D$9,D38,F38,C38,,,,,,$A$12:$A$24,$C$12:$C$31,$B$3,$B$4,FALSE),1,37)</f>
      </c>
      <c r="AR38" s="5">
        <f>INDEX(CEA_TP_SOLVE($A$7:$D$9,D38,F38,C38,,,,,,$A$12:$A$24,$C$12:$C$31,$B$3,$B$4,FALSE),1,38)</f>
      </c>
      <c r="AS38" s="5">
        <f>INDEX(CEA_TP_SOLVE($A$7:$D$9,D38,F38,C38,,,,,,$A$12:$A$24,$C$12:$C$31,$B$3,$B$4,FALSE),1,39)</f>
      </c>
      <c r="AT38" s="5">
        <f>INDEX(CEA_TP_SOLVE($A$7:$D$9,D38,F38,C38,,,,,,$A$12:$A$24,$C$12:$C$31,$B$3,$B$4,FALSE),1,40)</f>
      </c>
      <c r="AU38" s="5">
        <f>INDEX(CEA_TP_SOLVE($A$7:$D$9,D38,F38,C38,,,,,,$A$12:$A$24,$C$12:$C$31,$B$3,$B$4,FALSE),1,41)</f>
      </c>
      <c r="AV38" s="5">
        <f>INDEX(CEA_TP_SOLVE($A$7:$D$9,D38,F38,C38,,,,,,$A$12:$A$24,$C$12:$C$31,$B$3,$B$4,FALSE),1,42)</f>
      </c>
      <c r="AW38" s="5">
        <f>INDEX(CEA_TP_SOLVE($A$7:$D$9,D38,F38,C38,,,,,,$A$12:$A$24,$C$12:$C$31,$B$3,$B$4,FALSE),1,43)</f>
      </c>
      <c r="AX38" s="5">
        <f>INDEX(CEA_TP_SOLVE($A$7:$D$9,D38,F38,C38,,,,,,$A$12:$A$24,$C$12:$C$31,$B$3,$B$4,FALSE),1,44)</f>
      </c>
      <c r="AY38" s="5">
        <f>INDEX(CEA_TP_SOLVE($A$7:$D$9,D38,F38,C38,,,,,,$A$12:$A$24,$C$12:$C$31,$B$3,$B$4,FALSE),1,45)</f>
      </c>
      <c r="AZ38" s="5">
        <f>INDEX(CEA_TP_SOLVE($A$7:$D$9,D38,F38,C38,,,,,,$A$12:$A$24,$C$12:$C$31,$B$3,$B$4,FALSE),1,46)</f>
      </c>
      <c r="BA38" s="5">
        <f>INDEX(CEA_TP_SOLVE($A$7:$D$9,D38,F38,C38,,,,,,$A$12:$A$24,$C$12:$C$31,$B$3,$B$4,FALSE),1,47)</f>
      </c>
      <c r="BB38" s="5">
        <f>INDEX(CEA_TP_SOLVE($A$7:$D$9,D38,F38,C38,,,,,,$A$12:$A$24,$C$12:$C$31,$B$3,$B$4,FALSE),1,48)</f>
      </c>
      <c r="BC38" s="5">
        <f>INDEX(CEA_TP_SOLVE($A$7:$D$9,D38,F38,C38,,,,,,$A$12:$A$24,$C$12:$C$31,$B$3,$B$4,FALSE),1,49)</f>
      </c>
      <c r="BD38" s="5">
        <f>INDEX(CEA_TP_SOLVE($A$7:$D$9,D38,F38,C38,,,,,,$A$12:$A$24,$C$12:$C$31,$B$3,$B$4,FALSE),1,50)</f>
      </c>
      <c r="BE38" s="5">
        <f>INDEX(CEA_TP_SOLVE($A$7:$D$9,D38,F38,C38,,,,,,$A$12:$A$24,$C$12:$C$31,$B$3,$B$4,FALSE),1,51)</f>
      </c>
      <c r="BF38" s="5">
        <f>INDEX(CEA_TP_SOLVE($A$7:$D$9,D38,F38,C38,,,,,,$A$12:$A$24,$C$12:$C$31,$B$3,$B$4,FALSE),1,52)</f>
      </c>
      <c r="BG38" s="5">
        <f>INDEX(CEA_TP_SOLVE($A$7:$D$9,D38,F38,C38,,,,,,$A$12:$A$24,$C$12:$C$31,$B$3,$B$4,FALSE),1,53)</f>
      </c>
      <c r="BH38" s="5">
        <f>INDEX(CEA_TP_SOLVE($A$7:$D$9,D38,F38,C38,,,,,,$A$12:$A$24,$C$12:$C$31,$B$3,$B$4,FALSE),1,54)</f>
      </c>
      <c r="BI38" s="5">
        <f>INDEX(CEA_TP_SOLVE($A$7:$D$9,D38,F38,C38,,,,,,$A$12:$A$24,$C$12:$C$31,$B$3,$B$4,FALSE),1,55)</f>
      </c>
      <c r="BJ38" s="5">
        <f>INDEX(CEA_TP_SOLVE($A$7:$D$9,D38,F38,C38,,,,,,$A$12:$A$24,$C$12:$C$31,$B$3,$B$4,FALSE),1,56)</f>
      </c>
    </row>
    <row r="39" spans="1:62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INDEX(CEA_TP_SOLVE($A$7:$D$9,D39,F39,C39,,,,,,$A$12:$A$24,$C$12:$C$31,$B$3,$B$4,FALSE),1,1)</f>
      </c>
      <c r="H39" s="5">
        <f>INDEX(CEA_TP_SOLVE($A$7:$D$9,D39,F39,C39,,,,,,$A$12:$A$24,$C$12:$C$31,$B$3,$B$4,FALSE),1,2)</f>
      </c>
      <c r="I39" s="5">
        <f>INDEX(CEA_TP_SOLVE($A$7:$D$9,D39,F39,C39,,,,,,$A$12:$A$24,$C$12:$C$31,$B$3,$B$4,FALSE),1,3)</f>
      </c>
      <c r="J39" s="5">
        <f>INDEX(CEA_TP_SOLVE($A$7:$D$9,D39,F39,C39,,,,,,$A$12:$A$24,$C$12:$C$31,$B$3,$B$4,FALSE),1,4)</f>
      </c>
      <c r="K39" s="5">
        <f>INDEX(CEA_TP_SOLVE($A$7:$D$9,D39,F39,C39,,,,,,$A$12:$A$24,$C$12:$C$31,$B$3,$B$4,FALSE),1,5)</f>
      </c>
      <c r="L39" s="5">
        <f>INDEX(CEA_TP_SOLVE($A$7:$D$9,D39,F39,C39,,,,,,$A$12:$A$24,$C$12:$C$31,$B$3,$B$4,FALSE),1,6)</f>
      </c>
      <c r="M39" s="5">
        <f>INDEX(CEA_TP_SOLVE($A$7:$D$9,D39,F39,C39,,,,,,$A$12:$A$24,$C$12:$C$31,$B$3,$B$4,FALSE),1,7)</f>
      </c>
      <c r="N39" s="5">
        <f>INDEX(CEA_TP_SOLVE($A$7:$D$9,D39,F39,C39,,,,,,$A$12:$A$24,$C$12:$C$31,$B$3,$B$4,FALSE),1,8)</f>
      </c>
      <c r="O39" s="5">
        <f>INDEX(CEA_TP_SOLVE($A$7:$D$9,D39,F39,C39,,,,,,$A$12:$A$24,$C$12:$C$31,$B$3,$B$4,FALSE),1,9)</f>
      </c>
      <c r="P39" s="5">
        <f>INDEX(CEA_TP_SOLVE($A$7:$D$9,D39,F39,C39,,,,,,$A$12:$A$24,$C$12:$C$31,$B$3,$B$4,FALSE),1,10)</f>
      </c>
      <c r="Q39" s="5">
        <f>INDEX(CEA_TP_SOLVE($A$7:$D$9,D39,F39,C39,,,,,,$A$12:$A$24,$C$12:$C$31,$B$3,$B$4,FALSE),1,11)</f>
      </c>
      <c r="R39" s="5">
        <f>INDEX(CEA_TP_SOLVE($A$7:$D$9,D39,F39,C39,,,,,,$A$12:$A$24,$C$12:$C$31,$B$3,$B$4,FALSE),1,12)</f>
      </c>
      <c r="S39" s="5">
        <f>INDEX(CEA_TP_SOLVE($A$7:$D$9,D39,F39,C39,,,,,,$A$12:$A$24,$C$12:$C$31,$B$3,$B$4,FALSE),1,13)</f>
      </c>
      <c r="T39" s="5">
        <f>INDEX(CEA_TP_SOLVE($A$7:$D$9,D39,F39,C39,,,,,,$A$12:$A$24,$C$12:$C$31,$B$3,$B$4,FALSE),1,14)</f>
      </c>
      <c r="U39" s="5">
        <f>INDEX(CEA_TP_SOLVE($A$7:$D$9,D39,F39,C39,,,,,,$A$12:$A$24,$C$12:$C$31,$B$3,$B$4,FALSE),1,15)</f>
      </c>
      <c r="V39" s="5">
        <f>INDEX(CEA_TP_SOLVE($A$7:$D$9,D39,F39,C39,,,,,,$A$12:$A$24,$C$12:$C$31,$B$3,$B$4,FALSE),1,16)</f>
      </c>
      <c r="W39" s="5">
        <f>INDEX(CEA_TP_SOLVE($A$7:$D$9,D39,F39,C39,,,,,,$A$12:$A$24,$C$12:$C$31,$B$3,$B$4,FALSE),1,17)</f>
      </c>
      <c r="X39" s="5">
        <f>INDEX(CEA_TP_SOLVE($A$7:$D$9,D39,F39,C39,,,,,,$A$12:$A$24,$C$12:$C$31,$B$3,$B$4,FALSE),1,18)</f>
      </c>
      <c r="Y39" s="5">
        <f>INDEX(CEA_TP_SOLVE($A$7:$D$9,D39,F39,C39,,,,,,$A$12:$A$24,$C$12:$C$31,$B$3,$B$4,FALSE),1,19)</f>
      </c>
      <c r="Z39" s="5">
        <f>INDEX(CEA_TP_SOLVE($A$7:$D$9,D39,F39,C39,,,,,,$A$12:$A$24,$C$12:$C$31,$B$3,$B$4,FALSE),1,20)</f>
      </c>
      <c r="AA39" s="5">
        <f>INDEX(CEA_TP_SOLVE($A$7:$D$9,D39,F39,C39,,,,,,$A$12:$A$24,$C$12:$C$31,$B$3,$B$4,FALSE),1,21)</f>
      </c>
      <c r="AB39" s="5">
        <f>INDEX(CEA_TP_SOLVE($A$7:$D$9,D39,F39,C39,,,,,,$A$12:$A$24,$C$12:$C$31,$B$3,$B$4,FALSE),1,22)</f>
      </c>
      <c r="AC39" s="5">
        <f>INDEX(CEA_TP_SOLVE($A$7:$D$9,D39,F39,C39,,,,,,$A$12:$A$24,$C$12:$C$31,$B$3,$B$4,FALSE),1,23)</f>
      </c>
      <c r="AD39" s="5">
        <f>INDEX(CEA_TP_SOLVE($A$7:$D$9,D39,F39,C39,,,,,,$A$12:$A$24,$C$12:$C$31,$B$3,$B$4,FALSE),1,24)</f>
      </c>
      <c r="AE39" s="5">
        <f>INDEX(CEA_TP_SOLVE($A$7:$D$9,D39,F39,C39,,,,,,$A$12:$A$24,$C$12:$C$31,$B$3,$B$4,FALSE),1,25)</f>
      </c>
      <c r="AF39" s="5">
        <f>INDEX(CEA_TP_SOLVE($A$7:$D$9,D39,F39,C39,,,,,,$A$12:$A$24,$C$12:$C$31,$B$3,$B$4,FALSE),1,26)</f>
      </c>
      <c r="AG39" s="5">
        <f>INDEX(CEA_TP_SOLVE($A$7:$D$9,D39,F39,C39,,,,,,$A$12:$A$24,$C$12:$C$31,$B$3,$B$4,FALSE),1,27)</f>
      </c>
      <c r="AH39" s="5">
        <f>INDEX(CEA_TP_SOLVE($A$7:$D$9,D39,F39,C39,,,,,,$A$12:$A$24,$C$12:$C$31,$B$3,$B$4,FALSE),1,28)</f>
      </c>
      <c r="AI39" s="5">
        <f>INDEX(CEA_TP_SOLVE($A$7:$D$9,D39,F39,C39,,,,,,$A$12:$A$24,$C$12:$C$31,$B$3,$B$4,FALSE),1,29)</f>
      </c>
      <c r="AJ39" s="5">
        <f>INDEX(CEA_TP_SOLVE($A$7:$D$9,D39,F39,C39,,,,,,$A$12:$A$24,$C$12:$C$31,$B$3,$B$4,FALSE),1,30)</f>
      </c>
      <c r="AK39" s="5">
        <f>INDEX(CEA_TP_SOLVE($A$7:$D$9,D39,F39,C39,,,,,,$A$12:$A$24,$C$12:$C$31,$B$3,$B$4,FALSE),1,31)</f>
      </c>
      <c r="AL39" s="5">
        <f>INDEX(CEA_TP_SOLVE($A$7:$D$9,D39,F39,C39,,,,,,$A$12:$A$24,$C$12:$C$31,$B$3,$B$4,FALSE),1,32)</f>
      </c>
      <c r="AM39" s="5">
        <f>INDEX(CEA_TP_SOLVE($A$7:$D$9,D39,F39,C39,,,,,,$A$12:$A$24,$C$12:$C$31,$B$3,$B$4,FALSE),1,33)</f>
      </c>
      <c r="AN39" s="5">
        <f>INDEX(CEA_TP_SOLVE($A$7:$D$9,D39,F39,C39,,,,,,$A$12:$A$24,$C$12:$C$31,$B$3,$B$4,FALSE),1,34)</f>
      </c>
      <c r="AO39" s="5">
        <f>INDEX(CEA_TP_SOLVE($A$7:$D$9,D39,F39,C39,,,,,,$A$12:$A$24,$C$12:$C$31,$B$3,$B$4,FALSE),1,35)</f>
      </c>
      <c r="AP39" s="5">
        <f>INDEX(CEA_TP_SOLVE($A$7:$D$9,D39,F39,C39,,,,,,$A$12:$A$24,$C$12:$C$31,$B$3,$B$4,FALSE),1,36)</f>
      </c>
      <c r="AQ39" s="5">
        <f>INDEX(CEA_TP_SOLVE($A$7:$D$9,D39,F39,C39,,,,,,$A$12:$A$24,$C$12:$C$31,$B$3,$B$4,FALSE),1,37)</f>
      </c>
      <c r="AR39" s="5">
        <f>INDEX(CEA_TP_SOLVE($A$7:$D$9,D39,F39,C39,,,,,,$A$12:$A$24,$C$12:$C$31,$B$3,$B$4,FALSE),1,38)</f>
      </c>
      <c r="AS39" s="5">
        <f>INDEX(CEA_TP_SOLVE($A$7:$D$9,D39,F39,C39,,,,,,$A$12:$A$24,$C$12:$C$31,$B$3,$B$4,FALSE),1,39)</f>
      </c>
      <c r="AT39" s="5">
        <f>INDEX(CEA_TP_SOLVE($A$7:$D$9,D39,F39,C39,,,,,,$A$12:$A$24,$C$12:$C$31,$B$3,$B$4,FALSE),1,40)</f>
      </c>
      <c r="AU39" s="5">
        <f>INDEX(CEA_TP_SOLVE($A$7:$D$9,D39,F39,C39,,,,,,$A$12:$A$24,$C$12:$C$31,$B$3,$B$4,FALSE),1,41)</f>
      </c>
      <c r="AV39" s="5">
        <f>INDEX(CEA_TP_SOLVE($A$7:$D$9,D39,F39,C39,,,,,,$A$12:$A$24,$C$12:$C$31,$B$3,$B$4,FALSE),1,42)</f>
      </c>
      <c r="AW39" s="5">
        <f>INDEX(CEA_TP_SOLVE($A$7:$D$9,D39,F39,C39,,,,,,$A$12:$A$24,$C$12:$C$31,$B$3,$B$4,FALSE),1,43)</f>
      </c>
      <c r="AX39" s="5">
        <f>INDEX(CEA_TP_SOLVE($A$7:$D$9,D39,F39,C39,,,,,,$A$12:$A$24,$C$12:$C$31,$B$3,$B$4,FALSE),1,44)</f>
      </c>
      <c r="AY39" s="5">
        <f>INDEX(CEA_TP_SOLVE($A$7:$D$9,D39,F39,C39,,,,,,$A$12:$A$24,$C$12:$C$31,$B$3,$B$4,FALSE),1,45)</f>
      </c>
      <c r="AZ39" s="5">
        <f>INDEX(CEA_TP_SOLVE($A$7:$D$9,D39,F39,C39,,,,,,$A$12:$A$24,$C$12:$C$31,$B$3,$B$4,FALSE),1,46)</f>
      </c>
      <c r="BA39" s="5">
        <f>INDEX(CEA_TP_SOLVE($A$7:$D$9,D39,F39,C39,,,,,,$A$12:$A$24,$C$12:$C$31,$B$3,$B$4,FALSE),1,47)</f>
      </c>
      <c r="BB39" s="5">
        <f>INDEX(CEA_TP_SOLVE($A$7:$D$9,D39,F39,C39,,,,,,$A$12:$A$24,$C$12:$C$31,$B$3,$B$4,FALSE),1,48)</f>
      </c>
      <c r="BC39" s="5">
        <f>INDEX(CEA_TP_SOLVE($A$7:$D$9,D39,F39,C39,,,,,,$A$12:$A$24,$C$12:$C$31,$B$3,$B$4,FALSE),1,49)</f>
      </c>
      <c r="BD39" s="5">
        <f>INDEX(CEA_TP_SOLVE($A$7:$D$9,D39,F39,C39,,,,,,$A$12:$A$24,$C$12:$C$31,$B$3,$B$4,FALSE),1,50)</f>
      </c>
      <c r="BE39" s="5">
        <f>INDEX(CEA_TP_SOLVE($A$7:$D$9,D39,F39,C39,,,,,,$A$12:$A$24,$C$12:$C$31,$B$3,$B$4,FALSE),1,51)</f>
      </c>
      <c r="BF39" s="5">
        <f>INDEX(CEA_TP_SOLVE($A$7:$D$9,D39,F39,C39,,,,,,$A$12:$A$24,$C$12:$C$31,$B$3,$B$4,FALSE),1,52)</f>
      </c>
      <c r="BG39" s="5">
        <f>INDEX(CEA_TP_SOLVE($A$7:$D$9,D39,F39,C39,,,,,,$A$12:$A$24,$C$12:$C$31,$B$3,$B$4,FALSE),1,53)</f>
      </c>
      <c r="BH39" s="5">
        <f>INDEX(CEA_TP_SOLVE($A$7:$D$9,D39,F39,C39,,,,,,$A$12:$A$24,$C$12:$C$31,$B$3,$B$4,FALSE),1,54)</f>
      </c>
      <c r="BI39" s="5">
        <f>INDEX(CEA_TP_SOLVE($A$7:$D$9,D39,F39,C39,,,,,,$A$12:$A$24,$C$12:$C$31,$B$3,$B$4,FALSE),1,55)</f>
      </c>
      <c r="BJ39" s="5">
        <f>INDEX(CEA_TP_SOLVE($A$7:$D$9,D39,F39,C39,,,,,,$A$12:$A$24,$C$12:$C$31,$B$3,$B$4,FALSE),1,56)</f>
      </c>
    </row>
    <row r="40" spans="1:62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INDEX(CEA_TP_SOLVE($A$7:$D$9,D40,F40,C40,,,,,,$A$12:$A$24,$C$12:$C$31,$B$3,$B$4,FALSE),1,1)</f>
      </c>
      <c r="H40" s="5">
        <f>INDEX(CEA_TP_SOLVE($A$7:$D$9,D40,F40,C40,,,,,,$A$12:$A$24,$C$12:$C$31,$B$3,$B$4,FALSE),1,2)</f>
      </c>
      <c r="I40" s="5">
        <f>INDEX(CEA_TP_SOLVE($A$7:$D$9,D40,F40,C40,,,,,,$A$12:$A$24,$C$12:$C$31,$B$3,$B$4,FALSE),1,3)</f>
      </c>
      <c r="J40" s="5">
        <f>INDEX(CEA_TP_SOLVE($A$7:$D$9,D40,F40,C40,,,,,,$A$12:$A$24,$C$12:$C$31,$B$3,$B$4,FALSE),1,4)</f>
      </c>
      <c r="K40" s="5">
        <f>INDEX(CEA_TP_SOLVE($A$7:$D$9,D40,F40,C40,,,,,,$A$12:$A$24,$C$12:$C$31,$B$3,$B$4,FALSE),1,5)</f>
      </c>
      <c r="L40" s="5">
        <f>INDEX(CEA_TP_SOLVE($A$7:$D$9,D40,F40,C40,,,,,,$A$12:$A$24,$C$12:$C$31,$B$3,$B$4,FALSE),1,6)</f>
      </c>
      <c r="M40" s="5">
        <f>INDEX(CEA_TP_SOLVE($A$7:$D$9,D40,F40,C40,,,,,,$A$12:$A$24,$C$12:$C$31,$B$3,$B$4,FALSE),1,7)</f>
      </c>
      <c r="N40" s="5">
        <f>INDEX(CEA_TP_SOLVE($A$7:$D$9,D40,F40,C40,,,,,,$A$12:$A$24,$C$12:$C$31,$B$3,$B$4,FALSE),1,8)</f>
      </c>
      <c r="O40" s="5">
        <f>INDEX(CEA_TP_SOLVE($A$7:$D$9,D40,F40,C40,,,,,,$A$12:$A$24,$C$12:$C$31,$B$3,$B$4,FALSE),1,9)</f>
      </c>
      <c r="P40" s="5">
        <f>INDEX(CEA_TP_SOLVE($A$7:$D$9,D40,F40,C40,,,,,,$A$12:$A$24,$C$12:$C$31,$B$3,$B$4,FALSE),1,10)</f>
      </c>
      <c r="Q40" s="5">
        <f>INDEX(CEA_TP_SOLVE($A$7:$D$9,D40,F40,C40,,,,,,$A$12:$A$24,$C$12:$C$31,$B$3,$B$4,FALSE),1,11)</f>
      </c>
      <c r="R40" s="5">
        <f>INDEX(CEA_TP_SOLVE($A$7:$D$9,D40,F40,C40,,,,,,$A$12:$A$24,$C$12:$C$31,$B$3,$B$4,FALSE),1,12)</f>
      </c>
      <c r="S40" s="5">
        <f>INDEX(CEA_TP_SOLVE($A$7:$D$9,D40,F40,C40,,,,,,$A$12:$A$24,$C$12:$C$31,$B$3,$B$4,FALSE),1,13)</f>
      </c>
      <c r="T40" s="5">
        <f>INDEX(CEA_TP_SOLVE($A$7:$D$9,D40,F40,C40,,,,,,$A$12:$A$24,$C$12:$C$31,$B$3,$B$4,FALSE),1,14)</f>
      </c>
      <c r="U40" s="5">
        <f>INDEX(CEA_TP_SOLVE($A$7:$D$9,D40,F40,C40,,,,,,$A$12:$A$24,$C$12:$C$31,$B$3,$B$4,FALSE),1,15)</f>
      </c>
      <c r="V40" s="5">
        <f>INDEX(CEA_TP_SOLVE($A$7:$D$9,D40,F40,C40,,,,,,$A$12:$A$24,$C$12:$C$31,$B$3,$B$4,FALSE),1,16)</f>
      </c>
      <c r="W40" s="5">
        <f>INDEX(CEA_TP_SOLVE($A$7:$D$9,D40,F40,C40,,,,,,$A$12:$A$24,$C$12:$C$31,$B$3,$B$4,FALSE),1,17)</f>
      </c>
      <c r="X40" s="5">
        <f>INDEX(CEA_TP_SOLVE($A$7:$D$9,D40,F40,C40,,,,,,$A$12:$A$24,$C$12:$C$31,$B$3,$B$4,FALSE),1,18)</f>
      </c>
      <c r="Y40" s="5">
        <f>INDEX(CEA_TP_SOLVE($A$7:$D$9,D40,F40,C40,,,,,,$A$12:$A$24,$C$12:$C$31,$B$3,$B$4,FALSE),1,19)</f>
      </c>
      <c r="Z40" s="5">
        <f>INDEX(CEA_TP_SOLVE($A$7:$D$9,D40,F40,C40,,,,,,$A$12:$A$24,$C$12:$C$31,$B$3,$B$4,FALSE),1,20)</f>
      </c>
      <c r="AA40" s="5">
        <f>INDEX(CEA_TP_SOLVE($A$7:$D$9,D40,F40,C40,,,,,,$A$12:$A$24,$C$12:$C$31,$B$3,$B$4,FALSE),1,21)</f>
      </c>
      <c r="AB40" s="5">
        <f>INDEX(CEA_TP_SOLVE($A$7:$D$9,D40,F40,C40,,,,,,$A$12:$A$24,$C$12:$C$31,$B$3,$B$4,FALSE),1,22)</f>
      </c>
      <c r="AC40" s="5">
        <f>INDEX(CEA_TP_SOLVE($A$7:$D$9,D40,F40,C40,,,,,,$A$12:$A$24,$C$12:$C$31,$B$3,$B$4,FALSE),1,23)</f>
      </c>
      <c r="AD40" s="5">
        <f>INDEX(CEA_TP_SOLVE($A$7:$D$9,D40,F40,C40,,,,,,$A$12:$A$24,$C$12:$C$31,$B$3,$B$4,FALSE),1,24)</f>
      </c>
      <c r="AE40" s="5">
        <f>INDEX(CEA_TP_SOLVE($A$7:$D$9,D40,F40,C40,,,,,,$A$12:$A$24,$C$12:$C$31,$B$3,$B$4,FALSE),1,25)</f>
      </c>
      <c r="AF40" s="5">
        <f>INDEX(CEA_TP_SOLVE($A$7:$D$9,D40,F40,C40,,,,,,$A$12:$A$24,$C$12:$C$31,$B$3,$B$4,FALSE),1,26)</f>
      </c>
      <c r="AG40" s="5">
        <f>INDEX(CEA_TP_SOLVE($A$7:$D$9,D40,F40,C40,,,,,,$A$12:$A$24,$C$12:$C$31,$B$3,$B$4,FALSE),1,27)</f>
      </c>
      <c r="AH40" s="5">
        <f>INDEX(CEA_TP_SOLVE($A$7:$D$9,D40,F40,C40,,,,,,$A$12:$A$24,$C$12:$C$31,$B$3,$B$4,FALSE),1,28)</f>
      </c>
      <c r="AI40" s="5">
        <f>INDEX(CEA_TP_SOLVE($A$7:$D$9,D40,F40,C40,,,,,,$A$12:$A$24,$C$12:$C$31,$B$3,$B$4,FALSE),1,29)</f>
      </c>
      <c r="AJ40" s="5">
        <f>INDEX(CEA_TP_SOLVE($A$7:$D$9,D40,F40,C40,,,,,,$A$12:$A$24,$C$12:$C$31,$B$3,$B$4,FALSE),1,30)</f>
      </c>
      <c r="AK40" s="5">
        <f>INDEX(CEA_TP_SOLVE($A$7:$D$9,D40,F40,C40,,,,,,$A$12:$A$24,$C$12:$C$31,$B$3,$B$4,FALSE),1,31)</f>
      </c>
      <c r="AL40" s="5">
        <f>INDEX(CEA_TP_SOLVE($A$7:$D$9,D40,F40,C40,,,,,,$A$12:$A$24,$C$12:$C$31,$B$3,$B$4,FALSE),1,32)</f>
      </c>
      <c r="AM40" s="5">
        <f>INDEX(CEA_TP_SOLVE($A$7:$D$9,D40,F40,C40,,,,,,$A$12:$A$24,$C$12:$C$31,$B$3,$B$4,FALSE),1,33)</f>
      </c>
      <c r="AN40" s="5">
        <f>INDEX(CEA_TP_SOLVE($A$7:$D$9,D40,F40,C40,,,,,,$A$12:$A$24,$C$12:$C$31,$B$3,$B$4,FALSE),1,34)</f>
      </c>
      <c r="AO40" s="5">
        <f>INDEX(CEA_TP_SOLVE($A$7:$D$9,D40,F40,C40,,,,,,$A$12:$A$24,$C$12:$C$31,$B$3,$B$4,FALSE),1,35)</f>
      </c>
      <c r="AP40" s="5">
        <f>INDEX(CEA_TP_SOLVE($A$7:$D$9,D40,F40,C40,,,,,,$A$12:$A$24,$C$12:$C$31,$B$3,$B$4,FALSE),1,36)</f>
      </c>
      <c r="AQ40" s="5">
        <f>INDEX(CEA_TP_SOLVE($A$7:$D$9,D40,F40,C40,,,,,,$A$12:$A$24,$C$12:$C$31,$B$3,$B$4,FALSE),1,37)</f>
      </c>
      <c r="AR40" s="5">
        <f>INDEX(CEA_TP_SOLVE($A$7:$D$9,D40,F40,C40,,,,,,$A$12:$A$24,$C$12:$C$31,$B$3,$B$4,FALSE),1,38)</f>
      </c>
      <c r="AS40" s="5">
        <f>INDEX(CEA_TP_SOLVE($A$7:$D$9,D40,F40,C40,,,,,,$A$12:$A$24,$C$12:$C$31,$B$3,$B$4,FALSE),1,39)</f>
      </c>
      <c r="AT40" s="5">
        <f>INDEX(CEA_TP_SOLVE($A$7:$D$9,D40,F40,C40,,,,,,$A$12:$A$24,$C$12:$C$31,$B$3,$B$4,FALSE),1,40)</f>
      </c>
      <c r="AU40" s="5">
        <f>INDEX(CEA_TP_SOLVE($A$7:$D$9,D40,F40,C40,,,,,,$A$12:$A$24,$C$12:$C$31,$B$3,$B$4,FALSE),1,41)</f>
      </c>
      <c r="AV40" s="5">
        <f>INDEX(CEA_TP_SOLVE($A$7:$D$9,D40,F40,C40,,,,,,$A$12:$A$24,$C$12:$C$31,$B$3,$B$4,FALSE),1,42)</f>
      </c>
      <c r="AW40" s="5">
        <f>INDEX(CEA_TP_SOLVE($A$7:$D$9,D40,F40,C40,,,,,,$A$12:$A$24,$C$12:$C$31,$B$3,$B$4,FALSE),1,43)</f>
      </c>
      <c r="AX40" s="5">
        <f>INDEX(CEA_TP_SOLVE($A$7:$D$9,D40,F40,C40,,,,,,$A$12:$A$24,$C$12:$C$31,$B$3,$B$4,FALSE),1,44)</f>
      </c>
      <c r="AY40" s="5">
        <f>INDEX(CEA_TP_SOLVE($A$7:$D$9,D40,F40,C40,,,,,,$A$12:$A$24,$C$12:$C$31,$B$3,$B$4,FALSE),1,45)</f>
      </c>
      <c r="AZ40" s="5">
        <f>INDEX(CEA_TP_SOLVE($A$7:$D$9,D40,F40,C40,,,,,,$A$12:$A$24,$C$12:$C$31,$B$3,$B$4,FALSE),1,46)</f>
      </c>
      <c r="BA40" s="5">
        <f>INDEX(CEA_TP_SOLVE($A$7:$D$9,D40,F40,C40,,,,,,$A$12:$A$24,$C$12:$C$31,$B$3,$B$4,FALSE),1,47)</f>
      </c>
      <c r="BB40" s="5">
        <f>INDEX(CEA_TP_SOLVE($A$7:$D$9,D40,F40,C40,,,,,,$A$12:$A$24,$C$12:$C$31,$B$3,$B$4,FALSE),1,48)</f>
      </c>
      <c r="BC40" s="5">
        <f>INDEX(CEA_TP_SOLVE($A$7:$D$9,D40,F40,C40,,,,,,$A$12:$A$24,$C$12:$C$31,$B$3,$B$4,FALSE),1,49)</f>
      </c>
      <c r="BD40" s="5">
        <f>INDEX(CEA_TP_SOLVE($A$7:$D$9,D40,F40,C40,,,,,,$A$12:$A$24,$C$12:$C$31,$B$3,$B$4,FALSE),1,50)</f>
      </c>
      <c r="BE40" s="5">
        <f>INDEX(CEA_TP_SOLVE($A$7:$D$9,D40,F40,C40,,,,,,$A$12:$A$24,$C$12:$C$31,$B$3,$B$4,FALSE),1,51)</f>
      </c>
      <c r="BF40" s="5">
        <f>INDEX(CEA_TP_SOLVE($A$7:$D$9,D40,F40,C40,,,,,,$A$12:$A$24,$C$12:$C$31,$B$3,$B$4,FALSE),1,52)</f>
      </c>
      <c r="BG40" s="5">
        <f>INDEX(CEA_TP_SOLVE($A$7:$D$9,D40,F40,C40,,,,,,$A$12:$A$24,$C$12:$C$31,$B$3,$B$4,FALSE),1,53)</f>
      </c>
      <c r="BH40" s="5">
        <f>INDEX(CEA_TP_SOLVE($A$7:$D$9,D40,F40,C40,,,,,,$A$12:$A$24,$C$12:$C$31,$B$3,$B$4,FALSE),1,54)</f>
      </c>
      <c r="BI40" s="5">
        <f>INDEX(CEA_TP_SOLVE($A$7:$D$9,D40,F40,C40,,,,,,$A$12:$A$24,$C$12:$C$31,$B$3,$B$4,FALSE),1,55)</f>
      </c>
      <c r="BJ40" s="5">
        <f>INDEX(CEA_TP_SOLVE($A$7:$D$9,D40,F40,C40,,,,,,$A$12:$A$24,$C$12:$C$31,$B$3,$B$4,FALSE),1,56)</f>
      </c>
    </row>
    <row r="41" spans="1:62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INDEX(CEA_TP_SOLVE($A$7:$D$9,D41,F41,C41,,,,,,$A$12:$A$24,$C$12:$C$31,$B$3,$B$4,FALSE),1,1)</f>
      </c>
      <c r="H41" s="5">
        <f>INDEX(CEA_TP_SOLVE($A$7:$D$9,D41,F41,C41,,,,,,$A$12:$A$24,$C$12:$C$31,$B$3,$B$4,FALSE),1,2)</f>
      </c>
      <c r="I41" s="5">
        <f>INDEX(CEA_TP_SOLVE($A$7:$D$9,D41,F41,C41,,,,,,$A$12:$A$24,$C$12:$C$31,$B$3,$B$4,FALSE),1,3)</f>
      </c>
      <c r="J41" s="5">
        <f>INDEX(CEA_TP_SOLVE($A$7:$D$9,D41,F41,C41,,,,,,$A$12:$A$24,$C$12:$C$31,$B$3,$B$4,FALSE),1,4)</f>
      </c>
      <c r="K41" s="5">
        <f>INDEX(CEA_TP_SOLVE($A$7:$D$9,D41,F41,C41,,,,,,$A$12:$A$24,$C$12:$C$31,$B$3,$B$4,FALSE),1,5)</f>
      </c>
      <c r="L41" s="5">
        <f>INDEX(CEA_TP_SOLVE($A$7:$D$9,D41,F41,C41,,,,,,$A$12:$A$24,$C$12:$C$31,$B$3,$B$4,FALSE),1,6)</f>
      </c>
      <c r="M41" s="5">
        <f>INDEX(CEA_TP_SOLVE($A$7:$D$9,D41,F41,C41,,,,,,$A$12:$A$24,$C$12:$C$31,$B$3,$B$4,FALSE),1,7)</f>
      </c>
      <c r="N41" s="5">
        <f>INDEX(CEA_TP_SOLVE($A$7:$D$9,D41,F41,C41,,,,,,$A$12:$A$24,$C$12:$C$31,$B$3,$B$4,FALSE),1,8)</f>
      </c>
      <c r="O41" s="5">
        <f>INDEX(CEA_TP_SOLVE($A$7:$D$9,D41,F41,C41,,,,,,$A$12:$A$24,$C$12:$C$31,$B$3,$B$4,FALSE),1,9)</f>
      </c>
      <c r="P41" s="5">
        <f>INDEX(CEA_TP_SOLVE($A$7:$D$9,D41,F41,C41,,,,,,$A$12:$A$24,$C$12:$C$31,$B$3,$B$4,FALSE),1,10)</f>
      </c>
      <c r="Q41" s="5">
        <f>INDEX(CEA_TP_SOLVE($A$7:$D$9,D41,F41,C41,,,,,,$A$12:$A$24,$C$12:$C$31,$B$3,$B$4,FALSE),1,11)</f>
      </c>
      <c r="R41" s="5">
        <f>INDEX(CEA_TP_SOLVE($A$7:$D$9,D41,F41,C41,,,,,,$A$12:$A$24,$C$12:$C$31,$B$3,$B$4,FALSE),1,12)</f>
      </c>
      <c r="S41" s="5">
        <f>INDEX(CEA_TP_SOLVE($A$7:$D$9,D41,F41,C41,,,,,,$A$12:$A$24,$C$12:$C$31,$B$3,$B$4,FALSE),1,13)</f>
      </c>
      <c r="T41" s="5">
        <f>INDEX(CEA_TP_SOLVE($A$7:$D$9,D41,F41,C41,,,,,,$A$12:$A$24,$C$12:$C$31,$B$3,$B$4,FALSE),1,14)</f>
      </c>
      <c r="U41" s="5">
        <f>INDEX(CEA_TP_SOLVE($A$7:$D$9,D41,F41,C41,,,,,,$A$12:$A$24,$C$12:$C$31,$B$3,$B$4,FALSE),1,15)</f>
      </c>
      <c r="V41" s="5">
        <f>INDEX(CEA_TP_SOLVE($A$7:$D$9,D41,F41,C41,,,,,,$A$12:$A$24,$C$12:$C$31,$B$3,$B$4,FALSE),1,16)</f>
      </c>
      <c r="W41" s="5">
        <f>INDEX(CEA_TP_SOLVE($A$7:$D$9,D41,F41,C41,,,,,,$A$12:$A$24,$C$12:$C$31,$B$3,$B$4,FALSE),1,17)</f>
      </c>
      <c r="X41" s="5">
        <f>INDEX(CEA_TP_SOLVE($A$7:$D$9,D41,F41,C41,,,,,,$A$12:$A$24,$C$12:$C$31,$B$3,$B$4,FALSE),1,18)</f>
      </c>
      <c r="Y41" s="5">
        <f>INDEX(CEA_TP_SOLVE($A$7:$D$9,D41,F41,C41,,,,,,$A$12:$A$24,$C$12:$C$31,$B$3,$B$4,FALSE),1,19)</f>
      </c>
      <c r="Z41" s="5">
        <f>INDEX(CEA_TP_SOLVE($A$7:$D$9,D41,F41,C41,,,,,,$A$12:$A$24,$C$12:$C$31,$B$3,$B$4,FALSE),1,20)</f>
      </c>
      <c r="AA41" s="5">
        <f>INDEX(CEA_TP_SOLVE($A$7:$D$9,D41,F41,C41,,,,,,$A$12:$A$24,$C$12:$C$31,$B$3,$B$4,FALSE),1,21)</f>
      </c>
      <c r="AB41" s="5">
        <f>INDEX(CEA_TP_SOLVE($A$7:$D$9,D41,F41,C41,,,,,,$A$12:$A$24,$C$12:$C$31,$B$3,$B$4,FALSE),1,22)</f>
      </c>
      <c r="AC41" s="5">
        <f>INDEX(CEA_TP_SOLVE($A$7:$D$9,D41,F41,C41,,,,,,$A$12:$A$24,$C$12:$C$31,$B$3,$B$4,FALSE),1,23)</f>
      </c>
      <c r="AD41" s="5">
        <f>INDEX(CEA_TP_SOLVE($A$7:$D$9,D41,F41,C41,,,,,,$A$12:$A$24,$C$12:$C$31,$B$3,$B$4,FALSE),1,24)</f>
      </c>
      <c r="AE41" s="5">
        <f>INDEX(CEA_TP_SOLVE($A$7:$D$9,D41,F41,C41,,,,,,$A$12:$A$24,$C$12:$C$31,$B$3,$B$4,FALSE),1,25)</f>
      </c>
      <c r="AF41" s="5">
        <f>INDEX(CEA_TP_SOLVE($A$7:$D$9,D41,F41,C41,,,,,,$A$12:$A$24,$C$12:$C$31,$B$3,$B$4,FALSE),1,26)</f>
      </c>
      <c r="AG41" s="5">
        <f>INDEX(CEA_TP_SOLVE($A$7:$D$9,D41,F41,C41,,,,,,$A$12:$A$24,$C$12:$C$31,$B$3,$B$4,FALSE),1,27)</f>
      </c>
      <c r="AH41" s="5">
        <f>INDEX(CEA_TP_SOLVE($A$7:$D$9,D41,F41,C41,,,,,,$A$12:$A$24,$C$12:$C$31,$B$3,$B$4,FALSE),1,28)</f>
      </c>
      <c r="AI41" s="5">
        <f>INDEX(CEA_TP_SOLVE($A$7:$D$9,D41,F41,C41,,,,,,$A$12:$A$24,$C$12:$C$31,$B$3,$B$4,FALSE),1,29)</f>
      </c>
      <c r="AJ41" s="5">
        <f>INDEX(CEA_TP_SOLVE($A$7:$D$9,D41,F41,C41,,,,,,$A$12:$A$24,$C$12:$C$31,$B$3,$B$4,FALSE),1,30)</f>
      </c>
      <c r="AK41" s="5">
        <f>INDEX(CEA_TP_SOLVE($A$7:$D$9,D41,F41,C41,,,,,,$A$12:$A$24,$C$12:$C$31,$B$3,$B$4,FALSE),1,31)</f>
      </c>
      <c r="AL41" s="5">
        <f>INDEX(CEA_TP_SOLVE($A$7:$D$9,D41,F41,C41,,,,,,$A$12:$A$24,$C$12:$C$31,$B$3,$B$4,FALSE),1,32)</f>
      </c>
      <c r="AM41" s="5">
        <f>INDEX(CEA_TP_SOLVE($A$7:$D$9,D41,F41,C41,,,,,,$A$12:$A$24,$C$12:$C$31,$B$3,$B$4,FALSE),1,33)</f>
      </c>
      <c r="AN41" s="5">
        <f>INDEX(CEA_TP_SOLVE($A$7:$D$9,D41,F41,C41,,,,,,$A$12:$A$24,$C$12:$C$31,$B$3,$B$4,FALSE),1,34)</f>
      </c>
      <c r="AO41" s="5">
        <f>INDEX(CEA_TP_SOLVE($A$7:$D$9,D41,F41,C41,,,,,,$A$12:$A$24,$C$12:$C$31,$B$3,$B$4,FALSE),1,35)</f>
      </c>
      <c r="AP41" s="5">
        <f>INDEX(CEA_TP_SOLVE($A$7:$D$9,D41,F41,C41,,,,,,$A$12:$A$24,$C$12:$C$31,$B$3,$B$4,FALSE),1,36)</f>
      </c>
      <c r="AQ41" s="5">
        <f>INDEX(CEA_TP_SOLVE($A$7:$D$9,D41,F41,C41,,,,,,$A$12:$A$24,$C$12:$C$31,$B$3,$B$4,FALSE),1,37)</f>
      </c>
      <c r="AR41" s="5">
        <f>INDEX(CEA_TP_SOLVE($A$7:$D$9,D41,F41,C41,,,,,,$A$12:$A$24,$C$12:$C$31,$B$3,$B$4,FALSE),1,38)</f>
      </c>
      <c r="AS41" s="5">
        <f>INDEX(CEA_TP_SOLVE($A$7:$D$9,D41,F41,C41,,,,,,$A$12:$A$24,$C$12:$C$31,$B$3,$B$4,FALSE),1,39)</f>
      </c>
      <c r="AT41" s="5">
        <f>INDEX(CEA_TP_SOLVE($A$7:$D$9,D41,F41,C41,,,,,,$A$12:$A$24,$C$12:$C$31,$B$3,$B$4,FALSE),1,40)</f>
      </c>
      <c r="AU41" s="5">
        <f>INDEX(CEA_TP_SOLVE($A$7:$D$9,D41,F41,C41,,,,,,$A$12:$A$24,$C$12:$C$31,$B$3,$B$4,FALSE),1,41)</f>
      </c>
      <c r="AV41" s="5">
        <f>INDEX(CEA_TP_SOLVE($A$7:$D$9,D41,F41,C41,,,,,,$A$12:$A$24,$C$12:$C$31,$B$3,$B$4,FALSE),1,42)</f>
      </c>
      <c r="AW41" s="5">
        <f>INDEX(CEA_TP_SOLVE($A$7:$D$9,D41,F41,C41,,,,,,$A$12:$A$24,$C$12:$C$31,$B$3,$B$4,FALSE),1,43)</f>
      </c>
      <c r="AX41" s="5">
        <f>INDEX(CEA_TP_SOLVE($A$7:$D$9,D41,F41,C41,,,,,,$A$12:$A$24,$C$12:$C$31,$B$3,$B$4,FALSE),1,44)</f>
      </c>
      <c r="AY41" s="5">
        <f>INDEX(CEA_TP_SOLVE($A$7:$D$9,D41,F41,C41,,,,,,$A$12:$A$24,$C$12:$C$31,$B$3,$B$4,FALSE),1,45)</f>
      </c>
      <c r="AZ41" s="5">
        <f>INDEX(CEA_TP_SOLVE($A$7:$D$9,D41,F41,C41,,,,,,$A$12:$A$24,$C$12:$C$31,$B$3,$B$4,FALSE),1,46)</f>
      </c>
      <c r="BA41" s="5">
        <f>INDEX(CEA_TP_SOLVE($A$7:$D$9,D41,F41,C41,,,,,,$A$12:$A$24,$C$12:$C$31,$B$3,$B$4,FALSE),1,47)</f>
      </c>
      <c r="BB41" s="5">
        <f>INDEX(CEA_TP_SOLVE($A$7:$D$9,D41,F41,C41,,,,,,$A$12:$A$24,$C$12:$C$31,$B$3,$B$4,FALSE),1,48)</f>
      </c>
      <c r="BC41" s="5">
        <f>INDEX(CEA_TP_SOLVE($A$7:$D$9,D41,F41,C41,,,,,,$A$12:$A$24,$C$12:$C$31,$B$3,$B$4,FALSE),1,49)</f>
      </c>
      <c r="BD41" s="5">
        <f>INDEX(CEA_TP_SOLVE($A$7:$D$9,D41,F41,C41,,,,,,$A$12:$A$24,$C$12:$C$31,$B$3,$B$4,FALSE),1,50)</f>
      </c>
      <c r="BE41" s="5">
        <f>INDEX(CEA_TP_SOLVE($A$7:$D$9,D41,F41,C41,,,,,,$A$12:$A$24,$C$12:$C$31,$B$3,$B$4,FALSE),1,51)</f>
      </c>
      <c r="BF41" s="5">
        <f>INDEX(CEA_TP_SOLVE($A$7:$D$9,D41,F41,C41,,,,,,$A$12:$A$24,$C$12:$C$31,$B$3,$B$4,FALSE),1,52)</f>
      </c>
      <c r="BG41" s="5">
        <f>INDEX(CEA_TP_SOLVE($A$7:$D$9,D41,F41,C41,,,,,,$A$12:$A$24,$C$12:$C$31,$B$3,$B$4,FALSE),1,53)</f>
      </c>
      <c r="BH41" s="5">
        <f>INDEX(CEA_TP_SOLVE($A$7:$D$9,D41,F41,C41,,,,,,$A$12:$A$24,$C$12:$C$31,$B$3,$B$4,FALSE),1,54)</f>
      </c>
      <c r="BI41" s="5">
        <f>INDEX(CEA_TP_SOLVE($A$7:$D$9,D41,F41,C41,,,,,,$A$12:$A$24,$C$12:$C$31,$B$3,$B$4,FALSE),1,55)</f>
      </c>
      <c r="BJ41" s="5">
        <f>INDEX(CEA_TP_SOLVE($A$7:$D$9,D41,F41,C41,,,,,,$A$12:$A$24,$C$12:$C$31,$B$3,$B$4,FALSE),1,56)</f>
      </c>
    </row>
    <row r="42" spans="1:62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INDEX(CEA_TP_SOLVE($A$7:$D$9,D42,F42,C42,,,,,,$A$12:$A$24,$C$12:$C$31,$B$3,$B$4,FALSE),1,1)</f>
      </c>
      <c r="H42" s="5">
        <f>INDEX(CEA_TP_SOLVE($A$7:$D$9,D42,F42,C42,,,,,,$A$12:$A$24,$C$12:$C$31,$B$3,$B$4,FALSE),1,2)</f>
      </c>
      <c r="I42" s="5">
        <f>INDEX(CEA_TP_SOLVE($A$7:$D$9,D42,F42,C42,,,,,,$A$12:$A$24,$C$12:$C$31,$B$3,$B$4,FALSE),1,3)</f>
      </c>
      <c r="J42" s="5">
        <f>INDEX(CEA_TP_SOLVE($A$7:$D$9,D42,F42,C42,,,,,,$A$12:$A$24,$C$12:$C$31,$B$3,$B$4,FALSE),1,4)</f>
      </c>
      <c r="K42" s="5">
        <f>INDEX(CEA_TP_SOLVE($A$7:$D$9,D42,F42,C42,,,,,,$A$12:$A$24,$C$12:$C$31,$B$3,$B$4,FALSE),1,5)</f>
      </c>
      <c r="L42" s="5">
        <f>INDEX(CEA_TP_SOLVE($A$7:$D$9,D42,F42,C42,,,,,,$A$12:$A$24,$C$12:$C$31,$B$3,$B$4,FALSE),1,6)</f>
      </c>
      <c r="M42" s="5">
        <f>INDEX(CEA_TP_SOLVE($A$7:$D$9,D42,F42,C42,,,,,,$A$12:$A$24,$C$12:$C$31,$B$3,$B$4,FALSE),1,7)</f>
      </c>
      <c r="N42" s="5">
        <f>INDEX(CEA_TP_SOLVE($A$7:$D$9,D42,F42,C42,,,,,,$A$12:$A$24,$C$12:$C$31,$B$3,$B$4,FALSE),1,8)</f>
      </c>
      <c r="O42" s="5">
        <f>INDEX(CEA_TP_SOLVE($A$7:$D$9,D42,F42,C42,,,,,,$A$12:$A$24,$C$12:$C$31,$B$3,$B$4,FALSE),1,9)</f>
      </c>
      <c r="P42" s="5">
        <f>INDEX(CEA_TP_SOLVE($A$7:$D$9,D42,F42,C42,,,,,,$A$12:$A$24,$C$12:$C$31,$B$3,$B$4,FALSE),1,10)</f>
      </c>
      <c r="Q42" s="5">
        <f>INDEX(CEA_TP_SOLVE($A$7:$D$9,D42,F42,C42,,,,,,$A$12:$A$24,$C$12:$C$31,$B$3,$B$4,FALSE),1,11)</f>
      </c>
      <c r="R42" s="5">
        <f>INDEX(CEA_TP_SOLVE($A$7:$D$9,D42,F42,C42,,,,,,$A$12:$A$24,$C$12:$C$31,$B$3,$B$4,FALSE),1,12)</f>
      </c>
      <c r="S42" s="5">
        <f>INDEX(CEA_TP_SOLVE($A$7:$D$9,D42,F42,C42,,,,,,$A$12:$A$24,$C$12:$C$31,$B$3,$B$4,FALSE),1,13)</f>
      </c>
      <c r="T42" s="5">
        <f>INDEX(CEA_TP_SOLVE($A$7:$D$9,D42,F42,C42,,,,,,$A$12:$A$24,$C$12:$C$31,$B$3,$B$4,FALSE),1,14)</f>
      </c>
      <c r="U42" s="5">
        <f>INDEX(CEA_TP_SOLVE($A$7:$D$9,D42,F42,C42,,,,,,$A$12:$A$24,$C$12:$C$31,$B$3,$B$4,FALSE),1,15)</f>
      </c>
      <c r="V42" s="5">
        <f>INDEX(CEA_TP_SOLVE($A$7:$D$9,D42,F42,C42,,,,,,$A$12:$A$24,$C$12:$C$31,$B$3,$B$4,FALSE),1,16)</f>
      </c>
      <c r="W42" s="5">
        <f>INDEX(CEA_TP_SOLVE($A$7:$D$9,D42,F42,C42,,,,,,$A$12:$A$24,$C$12:$C$31,$B$3,$B$4,FALSE),1,17)</f>
      </c>
      <c r="X42" s="5">
        <f>INDEX(CEA_TP_SOLVE($A$7:$D$9,D42,F42,C42,,,,,,$A$12:$A$24,$C$12:$C$31,$B$3,$B$4,FALSE),1,18)</f>
      </c>
      <c r="Y42" s="5">
        <f>INDEX(CEA_TP_SOLVE($A$7:$D$9,D42,F42,C42,,,,,,$A$12:$A$24,$C$12:$C$31,$B$3,$B$4,FALSE),1,19)</f>
      </c>
      <c r="Z42" s="5">
        <f>INDEX(CEA_TP_SOLVE($A$7:$D$9,D42,F42,C42,,,,,,$A$12:$A$24,$C$12:$C$31,$B$3,$B$4,FALSE),1,20)</f>
      </c>
      <c r="AA42" s="5">
        <f>INDEX(CEA_TP_SOLVE($A$7:$D$9,D42,F42,C42,,,,,,$A$12:$A$24,$C$12:$C$31,$B$3,$B$4,FALSE),1,21)</f>
      </c>
      <c r="AB42" s="5">
        <f>INDEX(CEA_TP_SOLVE($A$7:$D$9,D42,F42,C42,,,,,,$A$12:$A$24,$C$12:$C$31,$B$3,$B$4,FALSE),1,22)</f>
      </c>
      <c r="AC42" s="5">
        <f>INDEX(CEA_TP_SOLVE($A$7:$D$9,D42,F42,C42,,,,,,$A$12:$A$24,$C$12:$C$31,$B$3,$B$4,FALSE),1,23)</f>
      </c>
      <c r="AD42" s="5">
        <f>INDEX(CEA_TP_SOLVE($A$7:$D$9,D42,F42,C42,,,,,,$A$12:$A$24,$C$12:$C$31,$B$3,$B$4,FALSE),1,24)</f>
      </c>
      <c r="AE42" s="5">
        <f>INDEX(CEA_TP_SOLVE($A$7:$D$9,D42,F42,C42,,,,,,$A$12:$A$24,$C$12:$C$31,$B$3,$B$4,FALSE),1,25)</f>
      </c>
      <c r="AF42" s="5">
        <f>INDEX(CEA_TP_SOLVE($A$7:$D$9,D42,F42,C42,,,,,,$A$12:$A$24,$C$12:$C$31,$B$3,$B$4,FALSE),1,26)</f>
      </c>
      <c r="AG42" s="5">
        <f>INDEX(CEA_TP_SOLVE($A$7:$D$9,D42,F42,C42,,,,,,$A$12:$A$24,$C$12:$C$31,$B$3,$B$4,FALSE),1,27)</f>
      </c>
      <c r="AH42" s="5">
        <f>INDEX(CEA_TP_SOLVE($A$7:$D$9,D42,F42,C42,,,,,,$A$12:$A$24,$C$12:$C$31,$B$3,$B$4,FALSE),1,28)</f>
      </c>
      <c r="AI42" s="5">
        <f>INDEX(CEA_TP_SOLVE($A$7:$D$9,D42,F42,C42,,,,,,$A$12:$A$24,$C$12:$C$31,$B$3,$B$4,FALSE),1,29)</f>
      </c>
      <c r="AJ42" s="5">
        <f>INDEX(CEA_TP_SOLVE($A$7:$D$9,D42,F42,C42,,,,,,$A$12:$A$24,$C$12:$C$31,$B$3,$B$4,FALSE),1,30)</f>
      </c>
      <c r="AK42" s="5">
        <f>INDEX(CEA_TP_SOLVE($A$7:$D$9,D42,F42,C42,,,,,,$A$12:$A$24,$C$12:$C$31,$B$3,$B$4,FALSE),1,31)</f>
      </c>
      <c r="AL42" s="5">
        <f>INDEX(CEA_TP_SOLVE($A$7:$D$9,D42,F42,C42,,,,,,$A$12:$A$24,$C$12:$C$31,$B$3,$B$4,FALSE),1,32)</f>
      </c>
      <c r="AM42" s="5">
        <f>INDEX(CEA_TP_SOLVE($A$7:$D$9,D42,F42,C42,,,,,,$A$12:$A$24,$C$12:$C$31,$B$3,$B$4,FALSE),1,33)</f>
      </c>
      <c r="AN42" s="5">
        <f>INDEX(CEA_TP_SOLVE($A$7:$D$9,D42,F42,C42,,,,,,$A$12:$A$24,$C$12:$C$31,$B$3,$B$4,FALSE),1,34)</f>
      </c>
      <c r="AO42" s="5">
        <f>INDEX(CEA_TP_SOLVE($A$7:$D$9,D42,F42,C42,,,,,,$A$12:$A$24,$C$12:$C$31,$B$3,$B$4,FALSE),1,35)</f>
      </c>
      <c r="AP42" s="5">
        <f>INDEX(CEA_TP_SOLVE($A$7:$D$9,D42,F42,C42,,,,,,$A$12:$A$24,$C$12:$C$31,$B$3,$B$4,FALSE),1,36)</f>
      </c>
      <c r="AQ42" s="5">
        <f>INDEX(CEA_TP_SOLVE($A$7:$D$9,D42,F42,C42,,,,,,$A$12:$A$24,$C$12:$C$31,$B$3,$B$4,FALSE),1,37)</f>
      </c>
      <c r="AR42" s="5">
        <f>INDEX(CEA_TP_SOLVE($A$7:$D$9,D42,F42,C42,,,,,,$A$12:$A$24,$C$12:$C$31,$B$3,$B$4,FALSE),1,38)</f>
      </c>
      <c r="AS42" s="5">
        <f>INDEX(CEA_TP_SOLVE($A$7:$D$9,D42,F42,C42,,,,,,$A$12:$A$24,$C$12:$C$31,$B$3,$B$4,FALSE),1,39)</f>
      </c>
      <c r="AT42" s="5">
        <f>INDEX(CEA_TP_SOLVE($A$7:$D$9,D42,F42,C42,,,,,,$A$12:$A$24,$C$12:$C$31,$B$3,$B$4,FALSE),1,40)</f>
      </c>
      <c r="AU42" s="5">
        <f>INDEX(CEA_TP_SOLVE($A$7:$D$9,D42,F42,C42,,,,,,$A$12:$A$24,$C$12:$C$31,$B$3,$B$4,FALSE),1,41)</f>
      </c>
      <c r="AV42" s="5">
        <f>INDEX(CEA_TP_SOLVE($A$7:$D$9,D42,F42,C42,,,,,,$A$12:$A$24,$C$12:$C$31,$B$3,$B$4,FALSE),1,42)</f>
      </c>
      <c r="AW42" s="5">
        <f>INDEX(CEA_TP_SOLVE($A$7:$D$9,D42,F42,C42,,,,,,$A$12:$A$24,$C$12:$C$31,$B$3,$B$4,FALSE),1,43)</f>
      </c>
      <c r="AX42" s="5">
        <f>INDEX(CEA_TP_SOLVE($A$7:$D$9,D42,F42,C42,,,,,,$A$12:$A$24,$C$12:$C$31,$B$3,$B$4,FALSE),1,44)</f>
      </c>
      <c r="AY42" s="5">
        <f>INDEX(CEA_TP_SOLVE($A$7:$D$9,D42,F42,C42,,,,,,$A$12:$A$24,$C$12:$C$31,$B$3,$B$4,FALSE),1,45)</f>
      </c>
      <c r="AZ42" s="5">
        <f>INDEX(CEA_TP_SOLVE($A$7:$D$9,D42,F42,C42,,,,,,$A$12:$A$24,$C$12:$C$31,$B$3,$B$4,FALSE),1,46)</f>
      </c>
      <c r="BA42" s="5">
        <f>INDEX(CEA_TP_SOLVE($A$7:$D$9,D42,F42,C42,,,,,,$A$12:$A$24,$C$12:$C$31,$B$3,$B$4,FALSE),1,47)</f>
      </c>
      <c r="BB42" s="5">
        <f>INDEX(CEA_TP_SOLVE($A$7:$D$9,D42,F42,C42,,,,,,$A$12:$A$24,$C$12:$C$31,$B$3,$B$4,FALSE),1,48)</f>
      </c>
      <c r="BC42" s="5">
        <f>INDEX(CEA_TP_SOLVE($A$7:$D$9,D42,F42,C42,,,,,,$A$12:$A$24,$C$12:$C$31,$B$3,$B$4,FALSE),1,49)</f>
      </c>
      <c r="BD42" s="5">
        <f>INDEX(CEA_TP_SOLVE($A$7:$D$9,D42,F42,C42,,,,,,$A$12:$A$24,$C$12:$C$31,$B$3,$B$4,FALSE),1,50)</f>
      </c>
      <c r="BE42" s="5">
        <f>INDEX(CEA_TP_SOLVE($A$7:$D$9,D42,F42,C42,,,,,,$A$12:$A$24,$C$12:$C$31,$B$3,$B$4,FALSE),1,51)</f>
      </c>
      <c r="BF42" s="5">
        <f>INDEX(CEA_TP_SOLVE($A$7:$D$9,D42,F42,C42,,,,,,$A$12:$A$24,$C$12:$C$31,$B$3,$B$4,FALSE),1,52)</f>
      </c>
      <c r="BG42" s="5">
        <f>INDEX(CEA_TP_SOLVE($A$7:$D$9,D42,F42,C42,,,,,,$A$12:$A$24,$C$12:$C$31,$B$3,$B$4,FALSE),1,53)</f>
      </c>
      <c r="BH42" s="5">
        <f>INDEX(CEA_TP_SOLVE($A$7:$D$9,D42,F42,C42,,,,,,$A$12:$A$24,$C$12:$C$31,$B$3,$B$4,FALSE),1,54)</f>
      </c>
      <c r="BI42" s="5">
        <f>INDEX(CEA_TP_SOLVE($A$7:$D$9,D42,F42,C42,,,,,,$A$12:$A$24,$C$12:$C$31,$B$3,$B$4,FALSE),1,55)</f>
      </c>
      <c r="BJ42" s="5">
        <f>INDEX(CEA_TP_SOLVE($A$7:$D$9,D42,F42,C42,,,,,,$A$12:$A$24,$C$12:$C$31,$B$3,$B$4,FALSE),1,56)</f>
      </c>
    </row>
    <row r="43" spans="1:62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INDEX(CEA_TP_SOLVE($A$7:$D$9,D43,F43,C43,,,,,,$A$12:$A$24,$C$12:$C$31,$B$3,$B$4,FALSE),1,1)</f>
      </c>
      <c r="H43" s="5">
        <f>INDEX(CEA_TP_SOLVE($A$7:$D$9,D43,F43,C43,,,,,,$A$12:$A$24,$C$12:$C$31,$B$3,$B$4,FALSE),1,2)</f>
      </c>
      <c r="I43" s="5">
        <f>INDEX(CEA_TP_SOLVE($A$7:$D$9,D43,F43,C43,,,,,,$A$12:$A$24,$C$12:$C$31,$B$3,$B$4,FALSE),1,3)</f>
      </c>
      <c r="J43" s="5">
        <f>INDEX(CEA_TP_SOLVE($A$7:$D$9,D43,F43,C43,,,,,,$A$12:$A$24,$C$12:$C$31,$B$3,$B$4,FALSE),1,4)</f>
      </c>
      <c r="K43" s="5">
        <f>INDEX(CEA_TP_SOLVE($A$7:$D$9,D43,F43,C43,,,,,,$A$12:$A$24,$C$12:$C$31,$B$3,$B$4,FALSE),1,5)</f>
      </c>
      <c r="L43" s="5">
        <f>INDEX(CEA_TP_SOLVE($A$7:$D$9,D43,F43,C43,,,,,,$A$12:$A$24,$C$12:$C$31,$B$3,$B$4,FALSE),1,6)</f>
      </c>
      <c r="M43" s="5">
        <f>INDEX(CEA_TP_SOLVE($A$7:$D$9,D43,F43,C43,,,,,,$A$12:$A$24,$C$12:$C$31,$B$3,$B$4,FALSE),1,7)</f>
      </c>
      <c r="N43" s="5">
        <f>INDEX(CEA_TP_SOLVE($A$7:$D$9,D43,F43,C43,,,,,,$A$12:$A$24,$C$12:$C$31,$B$3,$B$4,FALSE),1,8)</f>
      </c>
      <c r="O43" s="5">
        <f>INDEX(CEA_TP_SOLVE($A$7:$D$9,D43,F43,C43,,,,,,$A$12:$A$24,$C$12:$C$31,$B$3,$B$4,FALSE),1,9)</f>
      </c>
      <c r="P43" s="5">
        <f>INDEX(CEA_TP_SOLVE($A$7:$D$9,D43,F43,C43,,,,,,$A$12:$A$24,$C$12:$C$31,$B$3,$B$4,FALSE),1,10)</f>
      </c>
      <c r="Q43" s="5">
        <f>INDEX(CEA_TP_SOLVE($A$7:$D$9,D43,F43,C43,,,,,,$A$12:$A$24,$C$12:$C$31,$B$3,$B$4,FALSE),1,11)</f>
      </c>
      <c r="R43" s="5">
        <f>INDEX(CEA_TP_SOLVE($A$7:$D$9,D43,F43,C43,,,,,,$A$12:$A$24,$C$12:$C$31,$B$3,$B$4,FALSE),1,12)</f>
      </c>
      <c r="S43" s="5">
        <f>INDEX(CEA_TP_SOLVE($A$7:$D$9,D43,F43,C43,,,,,,$A$12:$A$24,$C$12:$C$31,$B$3,$B$4,FALSE),1,13)</f>
      </c>
      <c r="T43" s="5">
        <f>INDEX(CEA_TP_SOLVE($A$7:$D$9,D43,F43,C43,,,,,,$A$12:$A$24,$C$12:$C$31,$B$3,$B$4,FALSE),1,14)</f>
      </c>
      <c r="U43" s="5">
        <f>INDEX(CEA_TP_SOLVE($A$7:$D$9,D43,F43,C43,,,,,,$A$12:$A$24,$C$12:$C$31,$B$3,$B$4,FALSE),1,15)</f>
      </c>
      <c r="V43" s="5">
        <f>INDEX(CEA_TP_SOLVE($A$7:$D$9,D43,F43,C43,,,,,,$A$12:$A$24,$C$12:$C$31,$B$3,$B$4,FALSE),1,16)</f>
      </c>
      <c r="W43" s="5">
        <f>INDEX(CEA_TP_SOLVE($A$7:$D$9,D43,F43,C43,,,,,,$A$12:$A$24,$C$12:$C$31,$B$3,$B$4,FALSE),1,17)</f>
      </c>
      <c r="X43" s="5">
        <f>INDEX(CEA_TP_SOLVE($A$7:$D$9,D43,F43,C43,,,,,,$A$12:$A$24,$C$12:$C$31,$B$3,$B$4,FALSE),1,18)</f>
      </c>
      <c r="Y43" s="5">
        <f>INDEX(CEA_TP_SOLVE($A$7:$D$9,D43,F43,C43,,,,,,$A$12:$A$24,$C$12:$C$31,$B$3,$B$4,FALSE),1,19)</f>
      </c>
      <c r="Z43" s="5">
        <f>INDEX(CEA_TP_SOLVE($A$7:$D$9,D43,F43,C43,,,,,,$A$12:$A$24,$C$12:$C$31,$B$3,$B$4,FALSE),1,20)</f>
      </c>
      <c r="AA43" s="5">
        <f>INDEX(CEA_TP_SOLVE($A$7:$D$9,D43,F43,C43,,,,,,$A$12:$A$24,$C$12:$C$31,$B$3,$B$4,FALSE),1,21)</f>
      </c>
      <c r="AB43" s="5">
        <f>INDEX(CEA_TP_SOLVE($A$7:$D$9,D43,F43,C43,,,,,,$A$12:$A$24,$C$12:$C$31,$B$3,$B$4,FALSE),1,22)</f>
      </c>
      <c r="AC43" s="5">
        <f>INDEX(CEA_TP_SOLVE($A$7:$D$9,D43,F43,C43,,,,,,$A$12:$A$24,$C$12:$C$31,$B$3,$B$4,FALSE),1,23)</f>
      </c>
      <c r="AD43" s="5">
        <f>INDEX(CEA_TP_SOLVE($A$7:$D$9,D43,F43,C43,,,,,,$A$12:$A$24,$C$12:$C$31,$B$3,$B$4,FALSE),1,24)</f>
      </c>
      <c r="AE43" s="5">
        <f>INDEX(CEA_TP_SOLVE($A$7:$D$9,D43,F43,C43,,,,,,$A$12:$A$24,$C$12:$C$31,$B$3,$B$4,FALSE),1,25)</f>
      </c>
      <c r="AF43" s="5">
        <f>INDEX(CEA_TP_SOLVE($A$7:$D$9,D43,F43,C43,,,,,,$A$12:$A$24,$C$12:$C$31,$B$3,$B$4,FALSE),1,26)</f>
      </c>
      <c r="AG43" s="5">
        <f>INDEX(CEA_TP_SOLVE($A$7:$D$9,D43,F43,C43,,,,,,$A$12:$A$24,$C$12:$C$31,$B$3,$B$4,FALSE),1,27)</f>
      </c>
      <c r="AH43" s="5">
        <f>INDEX(CEA_TP_SOLVE($A$7:$D$9,D43,F43,C43,,,,,,$A$12:$A$24,$C$12:$C$31,$B$3,$B$4,FALSE),1,28)</f>
      </c>
      <c r="AI43" s="5">
        <f>INDEX(CEA_TP_SOLVE($A$7:$D$9,D43,F43,C43,,,,,,$A$12:$A$24,$C$12:$C$31,$B$3,$B$4,FALSE),1,29)</f>
      </c>
      <c r="AJ43" s="5">
        <f>INDEX(CEA_TP_SOLVE($A$7:$D$9,D43,F43,C43,,,,,,$A$12:$A$24,$C$12:$C$31,$B$3,$B$4,FALSE),1,30)</f>
      </c>
      <c r="AK43" s="5">
        <f>INDEX(CEA_TP_SOLVE($A$7:$D$9,D43,F43,C43,,,,,,$A$12:$A$24,$C$12:$C$31,$B$3,$B$4,FALSE),1,31)</f>
      </c>
      <c r="AL43" s="5">
        <f>INDEX(CEA_TP_SOLVE($A$7:$D$9,D43,F43,C43,,,,,,$A$12:$A$24,$C$12:$C$31,$B$3,$B$4,FALSE),1,32)</f>
      </c>
      <c r="AM43" s="5">
        <f>INDEX(CEA_TP_SOLVE($A$7:$D$9,D43,F43,C43,,,,,,$A$12:$A$24,$C$12:$C$31,$B$3,$B$4,FALSE),1,33)</f>
      </c>
      <c r="AN43" s="5">
        <f>INDEX(CEA_TP_SOLVE($A$7:$D$9,D43,F43,C43,,,,,,$A$12:$A$24,$C$12:$C$31,$B$3,$B$4,FALSE),1,34)</f>
      </c>
      <c r="AO43" s="5">
        <f>INDEX(CEA_TP_SOLVE($A$7:$D$9,D43,F43,C43,,,,,,$A$12:$A$24,$C$12:$C$31,$B$3,$B$4,FALSE),1,35)</f>
      </c>
      <c r="AP43" s="5">
        <f>INDEX(CEA_TP_SOLVE($A$7:$D$9,D43,F43,C43,,,,,,$A$12:$A$24,$C$12:$C$31,$B$3,$B$4,FALSE),1,36)</f>
      </c>
      <c r="AQ43" s="5">
        <f>INDEX(CEA_TP_SOLVE($A$7:$D$9,D43,F43,C43,,,,,,$A$12:$A$24,$C$12:$C$31,$B$3,$B$4,FALSE),1,37)</f>
      </c>
      <c r="AR43" s="5">
        <f>INDEX(CEA_TP_SOLVE($A$7:$D$9,D43,F43,C43,,,,,,$A$12:$A$24,$C$12:$C$31,$B$3,$B$4,FALSE),1,38)</f>
      </c>
      <c r="AS43" s="5">
        <f>INDEX(CEA_TP_SOLVE($A$7:$D$9,D43,F43,C43,,,,,,$A$12:$A$24,$C$12:$C$31,$B$3,$B$4,FALSE),1,39)</f>
      </c>
      <c r="AT43" s="5">
        <f>INDEX(CEA_TP_SOLVE($A$7:$D$9,D43,F43,C43,,,,,,$A$12:$A$24,$C$12:$C$31,$B$3,$B$4,FALSE),1,40)</f>
      </c>
      <c r="AU43" s="5">
        <f>INDEX(CEA_TP_SOLVE($A$7:$D$9,D43,F43,C43,,,,,,$A$12:$A$24,$C$12:$C$31,$B$3,$B$4,FALSE),1,41)</f>
      </c>
      <c r="AV43" s="5">
        <f>INDEX(CEA_TP_SOLVE($A$7:$D$9,D43,F43,C43,,,,,,$A$12:$A$24,$C$12:$C$31,$B$3,$B$4,FALSE),1,42)</f>
      </c>
      <c r="AW43" s="5">
        <f>INDEX(CEA_TP_SOLVE($A$7:$D$9,D43,F43,C43,,,,,,$A$12:$A$24,$C$12:$C$31,$B$3,$B$4,FALSE),1,43)</f>
      </c>
      <c r="AX43" s="5">
        <f>INDEX(CEA_TP_SOLVE($A$7:$D$9,D43,F43,C43,,,,,,$A$12:$A$24,$C$12:$C$31,$B$3,$B$4,FALSE),1,44)</f>
      </c>
      <c r="AY43" s="5">
        <f>INDEX(CEA_TP_SOLVE($A$7:$D$9,D43,F43,C43,,,,,,$A$12:$A$24,$C$12:$C$31,$B$3,$B$4,FALSE),1,45)</f>
      </c>
      <c r="AZ43" s="5">
        <f>INDEX(CEA_TP_SOLVE($A$7:$D$9,D43,F43,C43,,,,,,$A$12:$A$24,$C$12:$C$31,$B$3,$B$4,FALSE),1,46)</f>
      </c>
      <c r="BA43" s="5">
        <f>INDEX(CEA_TP_SOLVE($A$7:$D$9,D43,F43,C43,,,,,,$A$12:$A$24,$C$12:$C$31,$B$3,$B$4,FALSE),1,47)</f>
      </c>
      <c r="BB43" s="5">
        <f>INDEX(CEA_TP_SOLVE($A$7:$D$9,D43,F43,C43,,,,,,$A$12:$A$24,$C$12:$C$31,$B$3,$B$4,FALSE),1,48)</f>
      </c>
      <c r="BC43" s="5">
        <f>INDEX(CEA_TP_SOLVE($A$7:$D$9,D43,F43,C43,,,,,,$A$12:$A$24,$C$12:$C$31,$B$3,$B$4,FALSE),1,49)</f>
      </c>
      <c r="BD43" s="5">
        <f>INDEX(CEA_TP_SOLVE($A$7:$D$9,D43,F43,C43,,,,,,$A$12:$A$24,$C$12:$C$31,$B$3,$B$4,FALSE),1,50)</f>
      </c>
      <c r="BE43" s="5">
        <f>INDEX(CEA_TP_SOLVE($A$7:$D$9,D43,F43,C43,,,,,,$A$12:$A$24,$C$12:$C$31,$B$3,$B$4,FALSE),1,51)</f>
      </c>
      <c r="BF43" s="5">
        <f>INDEX(CEA_TP_SOLVE($A$7:$D$9,D43,F43,C43,,,,,,$A$12:$A$24,$C$12:$C$31,$B$3,$B$4,FALSE),1,52)</f>
      </c>
      <c r="BG43" s="5">
        <f>INDEX(CEA_TP_SOLVE($A$7:$D$9,D43,F43,C43,,,,,,$A$12:$A$24,$C$12:$C$31,$B$3,$B$4,FALSE),1,53)</f>
      </c>
      <c r="BH43" s="5">
        <f>INDEX(CEA_TP_SOLVE($A$7:$D$9,D43,F43,C43,,,,,,$A$12:$A$24,$C$12:$C$31,$B$3,$B$4,FALSE),1,54)</f>
      </c>
      <c r="BI43" s="5">
        <f>INDEX(CEA_TP_SOLVE($A$7:$D$9,D43,F43,C43,,,,,,$A$12:$A$24,$C$12:$C$31,$B$3,$B$4,FALSE),1,55)</f>
      </c>
      <c r="BJ43" s="5">
        <f>INDEX(CEA_TP_SOLVE($A$7:$D$9,D43,F43,C43,,,,,,$A$12:$A$24,$C$12:$C$31,$B$3,$B$4,FALSE),1,56)</f>
      </c>
    </row>
    <row r="44" spans="1:62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INDEX(CEA_TP_SOLVE($A$7:$D$9,D44,F44,C44,,,,,,$A$12:$A$24,$C$12:$C$31,$B$3,$B$4,FALSE),1,1)</f>
      </c>
      <c r="H44" s="5">
        <f>INDEX(CEA_TP_SOLVE($A$7:$D$9,D44,F44,C44,,,,,,$A$12:$A$24,$C$12:$C$31,$B$3,$B$4,FALSE),1,2)</f>
      </c>
      <c r="I44" s="5">
        <f>INDEX(CEA_TP_SOLVE($A$7:$D$9,D44,F44,C44,,,,,,$A$12:$A$24,$C$12:$C$31,$B$3,$B$4,FALSE),1,3)</f>
      </c>
      <c r="J44" s="5">
        <f>INDEX(CEA_TP_SOLVE($A$7:$D$9,D44,F44,C44,,,,,,$A$12:$A$24,$C$12:$C$31,$B$3,$B$4,FALSE),1,4)</f>
      </c>
      <c r="K44" s="5">
        <f>INDEX(CEA_TP_SOLVE($A$7:$D$9,D44,F44,C44,,,,,,$A$12:$A$24,$C$12:$C$31,$B$3,$B$4,FALSE),1,5)</f>
      </c>
      <c r="L44" s="5">
        <f>INDEX(CEA_TP_SOLVE($A$7:$D$9,D44,F44,C44,,,,,,$A$12:$A$24,$C$12:$C$31,$B$3,$B$4,FALSE),1,6)</f>
      </c>
      <c r="M44" s="5">
        <f>INDEX(CEA_TP_SOLVE($A$7:$D$9,D44,F44,C44,,,,,,$A$12:$A$24,$C$12:$C$31,$B$3,$B$4,FALSE),1,7)</f>
      </c>
      <c r="N44" s="5">
        <f>INDEX(CEA_TP_SOLVE($A$7:$D$9,D44,F44,C44,,,,,,$A$12:$A$24,$C$12:$C$31,$B$3,$B$4,FALSE),1,8)</f>
      </c>
      <c r="O44" s="5">
        <f>INDEX(CEA_TP_SOLVE($A$7:$D$9,D44,F44,C44,,,,,,$A$12:$A$24,$C$12:$C$31,$B$3,$B$4,FALSE),1,9)</f>
      </c>
      <c r="P44" s="5">
        <f>INDEX(CEA_TP_SOLVE($A$7:$D$9,D44,F44,C44,,,,,,$A$12:$A$24,$C$12:$C$31,$B$3,$B$4,FALSE),1,10)</f>
      </c>
      <c r="Q44" s="5">
        <f>INDEX(CEA_TP_SOLVE($A$7:$D$9,D44,F44,C44,,,,,,$A$12:$A$24,$C$12:$C$31,$B$3,$B$4,FALSE),1,11)</f>
      </c>
      <c r="R44" s="5">
        <f>INDEX(CEA_TP_SOLVE($A$7:$D$9,D44,F44,C44,,,,,,$A$12:$A$24,$C$12:$C$31,$B$3,$B$4,FALSE),1,12)</f>
      </c>
      <c r="S44" s="5">
        <f>INDEX(CEA_TP_SOLVE($A$7:$D$9,D44,F44,C44,,,,,,$A$12:$A$24,$C$12:$C$31,$B$3,$B$4,FALSE),1,13)</f>
      </c>
      <c r="T44" s="5">
        <f>INDEX(CEA_TP_SOLVE($A$7:$D$9,D44,F44,C44,,,,,,$A$12:$A$24,$C$12:$C$31,$B$3,$B$4,FALSE),1,14)</f>
      </c>
      <c r="U44" s="5">
        <f>INDEX(CEA_TP_SOLVE($A$7:$D$9,D44,F44,C44,,,,,,$A$12:$A$24,$C$12:$C$31,$B$3,$B$4,FALSE),1,15)</f>
      </c>
      <c r="V44" s="5">
        <f>INDEX(CEA_TP_SOLVE($A$7:$D$9,D44,F44,C44,,,,,,$A$12:$A$24,$C$12:$C$31,$B$3,$B$4,FALSE),1,16)</f>
      </c>
      <c r="W44" s="5">
        <f>INDEX(CEA_TP_SOLVE($A$7:$D$9,D44,F44,C44,,,,,,$A$12:$A$24,$C$12:$C$31,$B$3,$B$4,FALSE),1,17)</f>
      </c>
      <c r="X44" s="5">
        <f>INDEX(CEA_TP_SOLVE($A$7:$D$9,D44,F44,C44,,,,,,$A$12:$A$24,$C$12:$C$31,$B$3,$B$4,FALSE),1,18)</f>
      </c>
      <c r="Y44" s="5">
        <f>INDEX(CEA_TP_SOLVE($A$7:$D$9,D44,F44,C44,,,,,,$A$12:$A$24,$C$12:$C$31,$B$3,$B$4,FALSE),1,19)</f>
      </c>
      <c r="Z44" s="5">
        <f>INDEX(CEA_TP_SOLVE($A$7:$D$9,D44,F44,C44,,,,,,$A$12:$A$24,$C$12:$C$31,$B$3,$B$4,FALSE),1,20)</f>
      </c>
      <c r="AA44" s="5">
        <f>INDEX(CEA_TP_SOLVE($A$7:$D$9,D44,F44,C44,,,,,,$A$12:$A$24,$C$12:$C$31,$B$3,$B$4,FALSE),1,21)</f>
      </c>
      <c r="AB44" s="5">
        <f>INDEX(CEA_TP_SOLVE($A$7:$D$9,D44,F44,C44,,,,,,$A$12:$A$24,$C$12:$C$31,$B$3,$B$4,FALSE),1,22)</f>
      </c>
      <c r="AC44" s="5">
        <f>INDEX(CEA_TP_SOLVE($A$7:$D$9,D44,F44,C44,,,,,,$A$12:$A$24,$C$12:$C$31,$B$3,$B$4,FALSE),1,23)</f>
      </c>
      <c r="AD44" s="5">
        <f>INDEX(CEA_TP_SOLVE($A$7:$D$9,D44,F44,C44,,,,,,$A$12:$A$24,$C$12:$C$31,$B$3,$B$4,FALSE),1,24)</f>
      </c>
      <c r="AE44" s="5">
        <f>INDEX(CEA_TP_SOLVE($A$7:$D$9,D44,F44,C44,,,,,,$A$12:$A$24,$C$12:$C$31,$B$3,$B$4,FALSE),1,25)</f>
      </c>
      <c r="AF44" s="5">
        <f>INDEX(CEA_TP_SOLVE($A$7:$D$9,D44,F44,C44,,,,,,$A$12:$A$24,$C$12:$C$31,$B$3,$B$4,FALSE),1,26)</f>
      </c>
      <c r="AG44" s="5">
        <f>INDEX(CEA_TP_SOLVE($A$7:$D$9,D44,F44,C44,,,,,,$A$12:$A$24,$C$12:$C$31,$B$3,$B$4,FALSE),1,27)</f>
      </c>
      <c r="AH44" s="5">
        <f>INDEX(CEA_TP_SOLVE($A$7:$D$9,D44,F44,C44,,,,,,$A$12:$A$24,$C$12:$C$31,$B$3,$B$4,FALSE),1,28)</f>
      </c>
      <c r="AI44" s="5">
        <f>INDEX(CEA_TP_SOLVE($A$7:$D$9,D44,F44,C44,,,,,,$A$12:$A$24,$C$12:$C$31,$B$3,$B$4,FALSE),1,29)</f>
      </c>
      <c r="AJ44" s="5">
        <f>INDEX(CEA_TP_SOLVE($A$7:$D$9,D44,F44,C44,,,,,,$A$12:$A$24,$C$12:$C$31,$B$3,$B$4,FALSE),1,30)</f>
      </c>
      <c r="AK44" s="5">
        <f>INDEX(CEA_TP_SOLVE($A$7:$D$9,D44,F44,C44,,,,,,$A$12:$A$24,$C$12:$C$31,$B$3,$B$4,FALSE),1,31)</f>
      </c>
      <c r="AL44" s="5">
        <f>INDEX(CEA_TP_SOLVE($A$7:$D$9,D44,F44,C44,,,,,,$A$12:$A$24,$C$12:$C$31,$B$3,$B$4,FALSE),1,32)</f>
      </c>
      <c r="AM44" s="5">
        <f>INDEX(CEA_TP_SOLVE($A$7:$D$9,D44,F44,C44,,,,,,$A$12:$A$24,$C$12:$C$31,$B$3,$B$4,FALSE),1,33)</f>
      </c>
      <c r="AN44" s="5">
        <f>INDEX(CEA_TP_SOLVE($A$7:$D$9,D44,F44,C44,,,,,,$A$12:$A$24,$C$12:$C$31,$B$3,$B$4,FALSE),1,34)</f>
      </c>
      <c r="AO44" s="5">
        <f>INDEX(CEA_TP_SOLVE($A$7:$D$9,D44,F44,C44,,,,,,$A$12:$A$24,$C$12:$C$31,$B$3,$B$4,FALSE),1,35)</f>
      </c>
      <c r="AP44" s="5">
        <f>INDEX(CEA_TP_SOLVE($A$7:$D$9,D44,F44,C44,,,,,,$A$12:$A$24,$C$12:$C$31,$B$3,$B$4,FALSE),1,36)</f>
      </c>
      <c r="AQ44" s="5">
        <f>INDEX(CEA_TP_SOLVE($A$7:$D$9,D44,F44,C44,,,,,,$A$12:$A$24,$C$12:$C$31,$B$3,$B$4,FALSE),1,37)</f>
      </c>
      <c r="AR44" s="5">
        <f>INDEX(CEA_TP_SOLVE($A$7:$D$9,D44,F44,C44,,,,,,$A$12:$A$24,$C$12:$C$31,$B$3,$B$4,FALSE),1,38)</f>
      </c>
      <c r="AS44" s="5">
        <f>INDEX(CEA_TP_SOLVE($A$7:$D$9,D44,F44,C44,,,,,,$A$12:$A$24,$C$12:$C$31,$B$3,$B$4,FALSE),1,39)</f>
      </c>
      <c r="AT44" s="5">
        <f>INDEX(CEA_TP_SOLVE($A$7:$D$9,D44,F44,C44,,,,,,$A$12:$A$24,$C$12:$C$31,$B$3,$B$4,FALSE),1,40)</f>
      </c>
      <c r="AU44" s="5">
        <f>INDEX(CEA_TP_SOLVE($A$7:$D$9,D44,F44,C44,,,,,,$A$12:$A$24,$C$12:$C$31,$B$3,$B$4,FALSE),1,41)</f>
      </c>
      <c r="AV44" s="5">
        <f>INDEX(CEA_TP_SOLVE($A$7:$D$9,D44,F44,C44,,,,,,$A$12:$A$24,$C$12:$C$31,$B$3,$B$4,FALSE),1,42)</f>
      </c>
      <c r="AW44" s="5">
        <f>INDEX(CEA_TP_SOLVE($A$7:$D$9,D44,F44,C44,,,,,,$A$12:$A$24,$C$12:$C$31,$B$3,$B$4,FALSE),1,43)</f>
      </c>
      <c r="AX44" s="5">
        <f>INDEX(CEA_TP_SOLVE($A$7:$D$9,D44,F44,C44,,,,,,$A$12:$A$24,$C$12:$C$31,$B$3,$B$4,FALSE),1,44)</f>
      </c>
      <c r="AY44" s="5">
        <f>INDEX(CEA_TP_SOLVE($A$7:$D$9,D44,F44,C44,,,,,,$A$12:$A$24,$C$12:$C$31,$B$3,$B$4,FALSE),1,45)</f>
      </c>
      <c r="AZ44" s="5">
        <f>INDEX(CEA_TP_SOLVE($A$7:$D$9,D44,F44,C44,,,,,,$A$12:$A$24,$C$12:$C$31,$B$3,$B$4,FALSE),1,46)</f>
      </c>
      <c r="BA44" s="5">
        <f>INDEX(CEA_TP_SOLVE($A$7:$D$9,D44,F44,C44,,,,,,$A$12:$A$24,$C$12:$C$31,$B$3,$B$4,FALSE),1,47)</f>
      </c>
      <c r="BB44" s="5">
        <f>INDEX(CEA_TP_SOLVE($A$7:$D$9,D44,F44,C44,,,,,,$A$12:$A$24,$C$12:$C$31,$B$3,$B$4,FALSE),1,48)</f>
      </c>
      <c r="BC44" s="5">
        <f>INDEX(CEA_TP_SOLVE($A$7:$D$9,D44,F44,C44,,,,,,$A$12:$A$24,$C$12:$C$31,$B$3,$B$4,FALSE),1,49)</f>
      </c>
      <c r="BD44" s="5">
        <f>INDEX(CEA_TP_SOLVE($A$7:$D$9,D44,F44,C44,,,,,,$A$12:$A$24,$C$12:$C$31,$B$3,$B$4,FALSE),1,50)</f>
      </c>
      <c r="BE44" s="5">
        <f>INDEX(CEA_TP_SOLVE($A$7:$D$9,D44,F44,C44,,,,,,$A$12:$A$24,$C$12:$C$31,$B$3,$B$4,FALSE),1,51)</f>
      </c>
      <c r="BF44" s="5">
        <f>INDEX(CEA_TP_SOLVE($A$7:$D$9,D44,F44,C44,,,,,,$A$12:$A$24,$C$12:$C$31,$B$3,$B$4,FALSE),1,52)</f>
      </c>
      <c r="BG44" s="5">
        <f>INDEX(CEA_TP_SOLVE($A$7:$D$9,D44,F44,C44,,,,,,$A$12:$A$24,$C$12:$C$31,$B$3,$B$4,FALSE),1,53)</f>
      </c>
      <c r="BH44" s="5">
        <f>INDEX(CEA_TP_SOLVE($A$7:$D$9,D44,F44,C44,,,,,,$A$12:$A$24,$C$12:$C$31,$B$3,$B$4,FALSE),1,54)</f>
      </c>
      <c r="BI44" s="5">
        <f>INDEX(CEA_TP_SOLVE($A$7:$D$9,D44,F44,C44,,,,,,$A$12:$A$24,$C$12:$C$31,$B$3,$B$4,FALSE),1,55)</f>
      </c>
      <c r="BJ44" s="5">
        <f>INDEX(CEA_TP_SOLVE($A$7:$D$9,D44,F44,C44,,,,,,$A$12:$A$24,$C$12:$C$31,$B$3,$B$4,FALSE),1,56)</f>
      </c>
    </row>
    <row r="45" spans="1:62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INDEX(CEA_TP_SOLVE($A$7:$D$9,D45,F45,C45,,,,,,$A$12:$A$24,$C$12:$C$31,$B$3,$B$4,FALSE),1,1)</f>
      </c>
      <c r="H45" s="5">
        <f>INDEX(CEA_TP_SOLVE($A$7:$D$9,D45,F45,C45,,,,,,$A$12:$A$24,$C$12:$C$31,$B$3,$B$4,FALSE),1,2)</f>
      </c>
      <c r="I45" s="5">
        <f>INDEX(CEA_TP_SOLVE($A$7:$D$9,D45,F45,C45,,,,,,$A$12:$A$24,$C$12:$C$31,$B$3,$B$4,FALSE),1,3)</f>
      </c>
      <c r="J45" s="5">
        <f>INDEX(CEA_TP_SOLVE($A$7:$D$9,D45,F45,C45,,,,,,$A$12:$A$24,$C$12:$C$31,$B$3,$B$4,FALSE),1,4)</f>
      </c>
      <c r="K45" s="5">
        <f>INDEX(CEA_TP_SOLVE($A$7:$D$9,D45,F45,C45,,,,,,$A$12:$A$24,$C$12:$C$31,$B$3,$B$4,FALSE),1,5)</f>
      </c>
      <c r="L45" s="5">
        <f>INDEX(CEA_TP_SOLVE($A$7:$D$9,D45,F45,C45,,,,,,$A$12:$A$24,$C$12:$C$31,$B$3,$B$4,FALSE),1,6)</f>
      </c>
      <c r="M45" s="5">
        <f>INDEX(CEA_TP_SOLVE($A$7:$D$9,D45,F45,C45,,,,,,$A$12:$A$24,$C$12:$C$31,$B$3,$B$4,FALSE),1,7)</f>
      </c>
      <c r="N45" s="5">
        <f>INDEX(CEA_TP_SOLVE($A$7:$D$9,D45,F45,C45,,,,,,$A$12:$A$24,$C$12:$C$31,$B$3,$B$4,FALSE),1,8)</f>
      </c>
      <c r="O45" s="5">
        <f>INDEX(CEA_TP_SOLVE($A$7:$D$9,D45,F45,C45,,,,,,$A$12:$A$24,$C$12:$C$31,$B$3,$B$4,FALSE),1,9)</f>
      </c>
      <c r="P45" s="5">
        <f>INDEX(CEA_TP_SOLVE($A$7:$D$9,D45,F45,C45,,,,,,$A$12:$A$24,$C$12:$C$31,$B$3,$B$4,FALSE),1,10)</f>
      </c>
      <c r="Q45" s="5">
        <f>INDEX(CEA_TP_SOLVE($A$7:$D$9,D45,F45,C45,,,,,,$A$12:$A$24,$C$12:$C$31,$B$3,$B$4,FALSE),1,11)</f>
      </c>
      <c r="R45" s="5">
        <f>INDEX(CEA_TP_SOLVE($A$7:$D$9,D45,F45,C45,,,,,,$A$12:$A$24,$C$12:$C$31,$B$3,$B$4,FALSE),1,12)</f>
      </c>
      <c r="S45" s="5">
        <f>INDEX(CEA_TP_SOLVE($A$7:$D$9,D45,F45,C45,,,,,,$A$12:$A$24,$C$12:$C$31,$B$3,$B$4,FALSE),1,13)</f>
      </c>
      <c r="T45" s="5">
        <f>INDEX(CEA_TP_SOLVE($A$7:$D$9,D45,F45,C45,,,,,,$A$12:$A$24,$C$12:$C$31,$B$3,$B$4,FALSE),1,14)</f>
      </c>
      <c r="U45" s="5">
        <f>INDEX(CEA_TP_SOLVE($A$7:$D$9,D45,F45,C45,,,,,,$A$12:$A$24,$C$12:$C$31,$B$3,$B$4,FALSE),1,15)</f>
      </c>
      <c r="V45" s="5">
        <f>INDEX(CEA_TP_SOLVE($A$7:$D$9,D45,F45,C45,,,,,,$A$12:$A$24,$C$12:$C$31,$B$3,$B$4,FALSE),1,16)</f>
      </c>
      <c r="W45" s="5">
        <f>INDEX(CEA_TP_SOLVE($A$7:$D$9,D45,F45,C45,,,,,,$A$12:$A$24,$C$12:$C$31,$B$3,$B$4,FALSE),1,17)</f>
      </c>
      <c r="X45" s="5">
        <f>INDEX(CEA_TP_SOLVE($A$7:$D$9,D45,F45,C45,,,,,,$A$12:$A$24,$C$12:$C$31,$B$3,$B$4,FALSE),1,18)</f>
      </c>
      <c r="Y45" s="5">
        <f>INDEX(CEA_TP_SOLVE($A$7:$D$9,D45,F45,C45,,,,,,$A$12:$A$24,$C$12:$C$31,$B$3,$B$4,FALSE),1,19)</f>
      </c>
      <c r="Z45" s="5">
        <f>INDEX(CEA_TP_SOLVE($A$7:$D$9,D45,F45,C45,,,,,,$A$12:$A$24,$C$12:$C$31,$B$3,$B$4,FALSE),1,20)</f>
      </c>
      <c r="AA45" s="5">
        <f>INDEX(CEA_TP_SOLVE($A$7:$D$9,D45,F45,C45,,,,,,$A$12:$A$24,$C$12:$C$31,$B$3,$B$4,FALSE),1,21)</f>
      </c>
      <c r="AB45" s="5">
        <f>INDEX(CEA_TP_SOLVE($A$7:$D$9,D45,F45,C45,,,,,,$A$12:$A$24,$C$12:$C$31,$B$3,$B$4,FALSE),1,22)</f>
      </c>
      <c r="AC45" s="5">
        <f>INDEX(CEA_TP_SOLVE($A$7:$D$9,D45,F45,C45,,,,,,$A$12:$A$24,$C$12:$C$31,$B$3,$B$4,FALSE),1,23)</f>
      </c>
      <c r="AD45" s="5">
        <f>INDEX(CEA_TP_SOLVE($A$7:$D$9,D45,F45,C45,,,,,,$A$12:$A$24,$C$12:$C$31,$B$3,$B$4,FALSE),1,24)</f>
      </c>
      <c r="AE45" s="5">
        <f>INDEX(CEA_TP_SOLVE($A$7:$D$9,D45,F45,C45,,,,,,$A$12:$A$24,$C$12:$C$31,$B$3,$B$4,FALSE),1,25)</f>
      </c>
      <c r="AF45" s="5">
        <f>INDEX(CEA_TP_SOLVE($A$7:$D$9,D45,F45,C45,,,,,,$A$12:$A$24,$C$12:$C$31,$B$3,$B$4,FALSE),1,26)</f>
      </c>
      <c r="AG45" s="5">
        <f>INDEX(CEA_TP_SOLVE($A$7:$D$9,D45,F45,C45,,,,,,$A$12:$A$24,$C$12:$C$31,$B$3,$B$4,FALSE),1,27)</f>
      </c>
      <c r="AH45" s="5">
        <f>INDEX(CEA_TP_SOLVE($A$7:$D$9,D45,F45,C45,,,,,,$A$12:$A$24,$C$12:$C$31,$B$3,$B$4,FALSE),1,28)</f>
      </c>
      <c r="AI45" s="5">
        <f>INDEX(CEA_TP_SOLVE($A$7:$D$9,D45,F45,C45,,,,,,$A$12:$A$24,$C$12:$C$31,$B$3,$B$4,FALSE),1,29)</f>
      </c>
      <c r="AJ45" s="5">
        <f>INDEX(CEA_TP_SOLVE($A$7:$D$9,D45,F45,C45,,,,,,$A$12:$A$24,$C$12:$C$31,$B$3,$B$4,FALSE),1,30)</f>
      </c>
      <c r="AK45" s="5">
        <f>INDEX(CEA_TP_SOLVE($A$7:$D$9,D45,F45,C45,,,,,,$A$12:$A$24,$C$12:$C$31,$B$3,$B$4,FALSE),1,31)</f>
      </c>
      <c r="AL45" s="5">
        <f>INDEX(CEA_TP_SOLVE($A$7:$D$9,D45,F45,C45,,,,,,$A$12:$A$24,$C$12:$C$31,$B$3,$B$4,FALSE),1,32)</f>
      </c>
      <c r="AM45" s="5">
        <f>INDEX(CEA_TP_SOLVE($A$7:$D$9,D45,F45,C45,,,,,,$A$12:$A$24,$C$12:$C$31,$B$3,$B$4,FALSE),1,33)</f>
      </c>
      <c r="AN45" s="5">
        <f>INDEX(CEA_TP_SOLVE($A$7:$D$9,D45,F45,C45,,,,,,$A$12:$A$24,$C$12:$C$31,$B$3,$B$4,FALSE),1,34)</f>
      </c>
      <c r="AO45" s="5">
        <f>INDEX(CEA_TP_SOLVE($A$7:$D$9,D45,F45,C45,,,,,,$A$12:$A$24,$C$12:$C$31,$B$3,$B$4,FALSE),1,35)</f>
      </c>
      <c r="AP45" s="5">
        <f>INDEX(CEA_TP_SOLVE($A$7:$D$9,D45,F45,C45,,,,,,$A$12:$A$24,$C$12:$C$31,$B$3,$B$4,FALSE),1,36)</f>
      </c>
      <c r="AQ45" s="5">
        <f>INDEX(CEA_TP_SOLVE($A$7:$D$9,D45,F45,C45,,,,,,$A$12:$A$24,$C$12:$C$31,$B$3,$B$4,FALSE),1,37)</f>
      </c>
      <c r="AR45" s="5">
        <f>INDEX(CEA_TP_SOLVE($A$7:$D$9,D45,F45,C45,,,,,,$A$12:$A$24,$C$12:$C$31,$B$3,$B$4,FALSE),1,38)</f>
      </c>
      <c r="AS45" s="5">
        <f>INDEX(CEA_TP_SOLVE($A$7:$D$9,D45,F45,C45,,,,,,$A$12:$A$24,$C$12:$C$31,$B$3,$B$4,FALSE),1,39)</f>
      </c>
      <c r="AT45" s="5">
        <f>INDEX(CEA_TP_SOLVE($A$7:$D$9,D45,F45,C45,,,,,,$A$12:$A$24,$C$12:$C$31,$B$3,$B$4,FALSE),1,40)</f>
      </c>
      <c r="AU45" s="5">
        <f>INDEX(CEA_TP_SOLVE($A$7:$D$9,D45,F45,C45,,,,,,$A$12:$A$24,$C$12:$C$31,$B$3,$B$4,FALSE),1,41)</f>
      </c>
      <c r="AV45" s="5">
        <f>INDEX(CEA_TP_SOLVE($A$7:$D$9,D45,F45,C45,,,,,,$A$12:$A$24,$C$12:$C$31,$B$3,$B$4,FALSE),1,42)</f>
      </c>
      <c r="AW45" s="5">
        <f>INDEX(CEA_TP_SOLVE($A$7:$D$9,D45,F45,C45,,,,,,$A$12:$A$24,$C$12:$C$31,$B$3,$B$4,FALSE),1,43)</f>
      </c>
      <c r="AX45" s="5">
        <f>INDEX(CEA_TP_SOLVE($A$7:$D$9,D45,F45,C45,,,,,,$A$12:$A$24,$C$12:$C$31,$B$3,$B$4,FALSE),1,44)</f>
      </c>
      <c r="AY45" s="5">
        <f>INDEX(CEA_TP_SOLVE($A$7:$D$9,D45,F45,C45,,,,,,$A$12:$A$24,$C$12:$C$31,$B$3,$B$4,FALSE),1,45)</f>
      </c>
      <c r="AZ45" s="5">
        <f>INDEX(CEA_TP_SOLVE($A$7:$D$9,D45,F45,C45,,,,,,$A$12:$A$24,$C$12:$C$31,$B$3,$B$4,FALSE),1,46)</f>
      </c>
      <c r="BA45" s="5">
        <f>INDEX(CEA_TP_SOLVE($A$7:$D$9,D45,F45,C45,,,,,,$A$12:$A$24,$C$12:$C$31,$B$3,$B$4,FALSE),1,47)</f>
      </c>
      <c r="BB45" s="5">
        <f>INDEX(CEA_TP_SOLVE($A$7:$D$9,D45,F45,C45,,,,,,$A$12:$A$24,$C$12:$C$31,$B$3,$B$4,FALSE),1,48)</f>
      </c>
      <c r="BC45" s="5">
        <f>INDEX(CEA_TP_SOLVE($A$7:$D$9,D45,F45,C45,,,,,,$A$12:$A$24,$C$12:$C$31,$B$3,$B$4,FALSE),1,49)</f>
      </c>
      <c r="BD45" s="5">
        <f>INDEX(CEA_TP_SOLVE($A$7:$D$9,D45,F45,C45,,,,,,$A$12:$A$24,$C$12:$C$31,$B$3,$B$4,FALSE),1,50)</f>
      </c>
      <c r="BE45" s="5">
        <f>INDEX(CEA_TP_SOLVE($A$7:$D$9,D45,F45,C45,,,,,,$A$12:$A$24,$C$12:$C$31,$B$3,$B$4,FALSE),1,51)</f>
      </c>
      <c r="BF45" s="5">
        <f>INDEX(CEA_TP_SOLVE($A$7:$D$9,D45,F45,C45,,,,,,$A$12:$A$24,$C$12:$C$31,$B$3,$B$4,FALSE),1,52)</f>
      </c>
      <c r="BG45" s="5">
        <f>INDEX(CEA_TP_SOLVE($A$7:$D$9,D45,F45,C45,,,,,,$A$12:$A$24,$C$12:$C$31,$B$3,$B$4,FALSE),1,53)</f>
      </c>
      <c r="BH45" s="5">
        <f>INDEX(CEA_TP_SOLVE($A$7:$D$9,D45,F45,C45,,,,,,$A$12:$A$24,$C$12:$C$31,$B$3,$B$4,FALSE),1,54)</f>
      </c>
      <c r="BI45" s="5">
        <f>INDEX(CEA_TP_SOLVE($A$7:$D$9,D45,F45,C45,,,,,,$A$12:$A$24,$C$12:$C$31,$B$3,$B$4,FALSE),1,55)</f>
      </c>
      <c r="BJ45" s="5">
        <f>INDEX(CEA_TP_SOLVE($A$7:$D$9,D45,F45,C45,,,,,,$A$12:$A$24,$C$12:$C$31,$B$3,$B$4,FALSE),1,56)</f>
      </c>
    </row>
    <row r="46" spans="1:62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INDEX(CEA_TP_SOLVE($A$7:$D$9,D46,F46,C46,,,,,,$A$12:$A$24,$C$12:$C$31,$B$3,$B$4,FALSE),1,1)</f>
      </c>
      <c r="H46" s="5">
        <f>INDEX(CEA_TP_SOLVE($A$7:$D$9,D46,F46,C46,,,,,,$A$12:$A$24,$C$12:$C$31,$B$3,$B$4,FALSE),1,2)</f>
      </c>
      <c r="I46" s="5">
        <f>INDEX(CEA_TP_SOLVE($A$7:$D$9,D46,F46,C46,,,,,,$A$12:$A$24,$C$12:$C$31,$B$3,$B$4,FALSE),1,3)</f>
      </c>
      <c r="J46" s="5">
        <f>INDEX(CEA_TP_SOLVE($A$7:$D$9,D46,F46,C46,,,,,,$A$12:$A$24,$C$12:$C$31,$B$3,$B$4,FALSE),1,4)</f>
      </c>
      <c r="K46" s="5">
        <f>INDEX(CEA_TP_SOLVE($A$7:$D$9,D46,F46,C46,,,,,,$A$12:$A$24,$C$12:$C$31,$B$3,$B$4,FALSE),1,5)</f>
      </c>
      <c r="L46" s="5">
        <f>INDEX(CEA_TP_SOLVE($A$7:$D$9,D46,F46,C46,,,,,,$A$12:$A$24,$C$12:$C$31,$B$3,$B$4,FALSE),1,6)</f>
      </c>
      <c r="M46" s="5">
        <f>INDEX(CEA_TP_SOLVE($A$7:$D$9,D46,F46,C46,,,,,,$A$12:$A$24,$C$12:$C$31,$B$3,$B$4,FALSE),1,7)</f>
      </c>
      <c r="N46" s="5">
        <f>INDEX(CEA_TP_SOLVE($A$7:$D$9,D46,F46,C46,,,,,,$A$12:$A$24,$C$12:$C$31,$B$3,$B$4,FALSE),1,8)</f>
      </c>
      <c r="O46" s="5">
        <f>INDEX(CEA_TP_SOLVE($A$7:$D$9,D46,F46,C46,,,,,,$A$12:$A$24,$C$12:$C$31,$B$3,$B$4,FALSE),1,9)</f>
      </c>
      <c r="P46" s="5">
        <f>INDEX(CEA_TP_SOLVE($A$7:$D$9,D46,F46,C46,,,,,,$A$12:$A$24,$C$12:$C$31,$B$3,$B$4,FALSE),1,10)</f>
      </c>
      <c r="Q46" s="5">
        <f>INDEX(CEA_TP_SOLVE($A$7:$D$9,D46,F46,C46,,,,,,$A$12:$A$24,$C$12:$C$31,$B$3,$B$4,FALSE),1,11)</f>
      </c>
      <c r="R46" s="5">
        <f>INDEX(CEA_TP_SOLVE($A$7:$D$9,D46,F46,C46,,,,,,$A$12:$A$24,$C$12:$C$31,$B$3,$B$4,FALSE),1,12)</f>
      </c>
      <c r="S46" s="5">
        <f>INDEX(CEA_TP_SOLVE($A$7:$D$9,D46,F46,C46,,,,,,$A$12:$A$24,$C$12:$C$31,$B$3,$B$4,FALSE),1,13)</f>
      </c>
      <c r="T46" s="5">
        <f>INDEX(CEA_TP_SOLVE($A$7:$D$9,D46,F46,C46,,,,,,$A$12:$A$24,$C$12:$C$31,$B$3,$B$4,FALSE),1,14)</f>
      </c>
      <c r="U46" s="5">
        <f>INDEX(CEA_TP_SOLVE($A$7:$D$9,D46,F46,C46,,,,,,$A$12:$A$24,$C$12:$C$31,$B$3,$B$4,FALSE),1,15)</f>
      </c>
      <c r="V46" s="5">
        <f>INDEX(CEA_TP_SOLVE($A$7:$D$9,D46,F46,C46,,,,,,$A$12:$A$24,$C$12:$C$31,$B$3,$B$4,FALSE),1,16)</f>
      </c>
      <c r="W46" s="5">
        <f>INDEX(CEA_TP_SOLVE($A$7:$D$9,D46,F46,C46,,,,,,$A$12:$A$24,$C$12:$C$31,$B$3,$B$4,FALSE),1,17)</f>
      </c>
      <c r="X46" s="5">
        <f>INDEX(CEA_TP_SOLVE($A$7:$D$9,D46,F46,C46,,,,,,$A$12:$A$24,$C$12:$C$31,$B$3,$B$4,FALSE),1,18)</f>
      </c>
      <c r="Y46" s="5">
        <f>INDEX(CEA_TP_SOLVE($A$7:$D$9,D46,F46,C46,,,,,,$A$12:$A$24,$C$12:$C$31,$B$3,$B$4,FALSE),1,19)</f>
      </c>
      <c r="Z46" s="5">
        <f>INDEX(CEA_TP_SOLVE($A$7:$D$9,D46,F46,C46,,,,,,$A$12:$A$24,$C$12:$C$31,$B$3,$B$4,FALSE),1,20)</f>
      </c>
      <c r="AA46" s="5">
        <f>INDEX(CEA_TP_SOLVE($A$7:$D$9,D46,F46,C46,,,,,,$A$12:$A$24,$C$12:$C$31,$B$3,$B$4,FALSE),1,21)</f>
      </c>
      <c r="AB46" s="5">
        <f>INDEX(CEA_TP_SOLVE($A$7:$D$9,D46,F46,C46,,,,,,$A$12:$A$24,$C$12:$C$31,$B$3,$B$4,FALSE),1,22)</f>
      </c>
      <c r="AC46" s="5">
        <f>INDEX(CEA_TP_SOLVE($A$7:$D$9,D46,F46,C46,,,,,,$A$12:$A$24,$C$12:$C$31,$B$3,$B$4,FALSE),1,23)</f>
      </c>
      <c r="AD46" s="5">
        <f>INDEX(CEA_TP_SOLVE($A$7:$D$9,D46,F46,C46,,,,,,$A$12:$A$24,$C$12:$C$31,$B$3,$B$4,FALSE),1,24)</f>
      </c>
      <c r="AE46" s="5">
        <f>INDEX(CEA_TP_SOLVE($A$7:$D$9,D46,F46,C46,,,,,,$A$12:$A$24,$C$12:$C$31,$B$3,$B$4,FALSE),1,25)</f>
      </c>
      <c r="AF46" s="5">
        <f>INDEX(CEA_TP_SOLVE($A$7:$D$9,D46,F46,C46,,,,,,$A$12:$A$24,$C$12:$C$31,$B$3,$B$4,FALSE),1,26)</f>
      </c>
      <c r="AG46" s="5">
        <f>INDEX(CEA_TP_SOLVE($A$7:$D$9,D46,F46,C46,,,,,,$A$12:$A$24,$C$12:$C$31,$B$3,$B$4,FALSE),1,27)</f>
      </c>
      <c r="AH46" s="5">
        <f>INDEX(CEA_TP_SOLVE($A$7:$D$9,D46,F46,C46,,,,,,$A$12:$A$24,$C$12:$C$31,$B$3,$B$4,FALSE),1,28)</f>
      </c>
      <c r="AI46" s="5">
        <f>INDEX(CEA_TP_SOLVE($A$7:$D$9,D46,F46,C46,,,,,,$A$12:$A$24,$C$12:$C$31,$B$3,$B$4,FALSE),1,29)</f>
      </c>
      <c r="AJ46" s="5">
        <f>INDEX(CEA_TP_SOLVE($A$7:$D$9,D46,F46,C46,,,,,,$A$12:$A$24,$C$12:$C$31,$B$3,$B$4,FALSE),1,30)</f>
      </c>
      <c r="AK46" s="5">
        <f>INDEX(CEA_TP_SOLVE($A$7:$D$9,D46,F46,C46,,,,,,$A$12:$A$24,$C$12:$C$31,$B$3,$B$4,FALSE),1,31)</f>
      </c>
      <c r="AL46" s="5">
        <f>INDEX(CEA_TP_SOLVE($A$7:$D$9,D46,F46,C46,,,,,,$A$12:$A$24,$C$12:$C$31,$B$3,$B$4,FALSE),1,32)</f>
      </c>
      <c r="AM46" s="5">
        <f>INDEX(CEA_TP_SOLVE($A$7:$D$9,D46,F46,C46,,,,,,$A$12:$A$24,$C$12:$C$31,$B$3,$B$4,FALSE),1,33)</f>
      </c>
      <c r="AN46" s="5">
        <f>INDEX(CEA_TP_SOLVE($A$7:$D$9,D46,F46,C46,,,,,,$A$12:$A$24,$C$12:$C$31,$B$3,$B$4,FALSE),1,34)</f>
      </c>
      <c r="AO46" s="5">
        <f>INDEX(CEA_TP_SOLVE($A$7:$D$9,D46,F46,C46,,,,,,$A$12:$A$24,$C$12:$C$31,$B$3,$B$4,FALSE),1,35)</f>
      </c>
      <c r="AP46" s="5">
        <f>INDEX(CEA_TP_SOLVE($A$7:$D$9,D46,F46,C46,,,,,,$A$12:$A$24,$C$12:$C$31,$B$3,$B$4,FALSE),1,36)</f>
      </c>
      <c r="AQ46" s="5">
        <f>INDEX(CEA_TP_SOLVE($A$7:$D$9,D46,F46,C46,,,,,,$A$12:$A$24,$C$12:$C$31,$B$3,$B$4,FALSE),1,37)</f>
      </c>
      <c r="AR46" s="5">
        <f>INDEX(CEA_TP_SOLVE($A$7:$D$9,D46,F46,C46,,,,,,$A$12:$A$24,$C$12:$C$31,$B$3,$B$4,FALSE),1,38)</f>
      </c>
      <c r="AS46" s="5">
        <f>INDEX(CEA_TP_SOLVE($A$7:$D$9,D46,F46,C46,,,,,,$A$12:$A$24,$C$12:$C$31,$B$3,$B$4,FALSE),1,39)</f>
      </c>
      <c r="AT46" s="5">
        <f>INDEX(CEA_TP_SOLVE($A$7:$D$9,D46,F46,C46,,,,,,$A$12:$A$24,$C$12:$C$31,$B$3,$B$4,FALSE),1,40)</f>
      </c>
      <c r="AU46" s="5">
        <f>INDEX(CEA_TP_SOLVE($A$7:$D$9,D46,F46,C46,,,,,,$A$12:$A$24,$C$12:$C$31,$B$3,$B$4,FALSE),1,41)</f>
      </c>
      <c r="AV46" s="5">
        <f>INDEX(CEA_TP_SOLVE($A$7:$D$9,D46,F46,C46,,,,,,$A$12:$A$24,$C$12:$C$31,$B$3,$B$4,FALSE),1,42)</f>
      </c>
      <c r="AW46" s="5">
        <f>INDEX(CEA_TP_SOLVE($A$7:$D$9,D46,F46,C46,,,,,,$A$12:$A$24,$C$12:$C$31,$B$3,$B$4,FALSE),1,43)</f>
      </c>
      <c r="AX46" s="5">
        <f>INDEX(CEA_TP_SOLVE($A$7:$D$9,D46,F46,C46,,,,,,$A$12:$A$24,$C$12:$C$31,$B$3,$B$4,FALSE),1,44)</f>
      </c>
      <c r="AY46" s="5">
        <f>INDEX(CEA_TP_SOLVE($A$7:$D$9,D46,F46,C46,,,,,,$A$12:$A$24,$C$12:$C$31,$B$3,$B$4,FALSE),1,45)</f>
      </c>
      <c r="AZ46" s="5">
        <f>INDEX(CEA_TP_SOLVE($A$7:$D$9,D46,F46,C46,,,,,,$A$12:$A$24,$C$12:$C$31,$B$3,$B$4,FALSE),1,46)</f>
      </c>
      <c r="BA46" s="5">
        <f>INDEX(CEA_TP_SOLVE($A$7:$D$9,D46,F46,C46,,,,,,$A$12:$A$24,$C$12:$C$31,$B$3,$B$4,FALSE),1,47)</f>
      </c>
      <c r="BB46" s="5">
        <f>INDEX(CEA_TP_SOLVE($A$7:$D$9,D46,F46,C46,,,,,,$A$12:$A$24,$C$12:$C$31,$B$3,$B$4,FALSE),1,48)</f>
      </c>
      <c r="BC46" s="5">
        <f>INDEX(CEA_TP_SOLVE($A$7:$D$9,D46,F46,C46,,,,,,$A$12:$A$24,$C$12:$C$31,$B$3,$B$4,FALSE),1,49)</f>
      </c>
      <c r="BD46" s="5">
        <f>INDEX(CEA_TP_SOLVE($A$7:$D$9,D46,F46,C46,,,,,,$A$12:$A$24,$C$12:$C$31,$B$3,$B$4,FALSE),1,50)</f>
      </c>
      <c r="BE46" s="5">
        <f>INDEX(CEA_TP_SOLVE($A$7:$D$9,D46,F46,C46,,,,,,$A$12:$A$24,$C$12:$C$31,$B$3,$B$4,FALSE),1,51)</f>
      </c>
      <c r="BF46" s="5">
        <f>INDEX(CEA_TP_SOLVE($A$7:$D$9,D46,F46,C46,,,,,,$A$12:$A$24,$C$12:$C$31,$B$3,$B$4,FALSE),1,52)</f>
      </c>
      <c r="BG46" s="5">
        <f>INDEX(CEA_TP_SOLVE($A$7:$D$9,D46,F46,C46,,,,,,$A$12:$A$24,$C$12:$C$31,$B$3,$B$4,FALSE),1,53)</f>
      </c>
      <c r="BH46" s="5">
        <f>INDEX(CEA_TP_SOLVE($A$7:$D$9,D46,F46,C46,,,,,,$A$12:$A$24,$C$12:$C$31,$B$3,$B$4,FALSE),1,54)</f>
      </c>
      <c r="BI46" s="5">
        <f>INDEX(CEA_TP_SOLVE($A$7:$D$9,D46,F46,C46,,,,,,$A$12:$A$24,$C$12:$C$31,$B$3,$B$4,FALSE),1,55)</f>
      </c>
      <c r="BJ46" s="5">
        <f>INDEX(CEA_TP_SOLVE($A$7:$D$9,D46,F46,C46,,,,,,$A$12:$A$24,$C$12:$C$31,$B$3,$B$4,FALSE),1,56)</f>
      </c>
    </row>
    <row r="47" spans="1:62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INDEX(CEA_TP_SOLVE($A$7:$D$9,D47,F47,C47,,,,,,$A$12:$A$24,$C$12:$C$31,$B$3,$B$4,FALSE),1,1)</f>
      </c>
      <c r="H47" s="5">
        <f>INDEX(CEA_TP_SOLVE($A$7:$D$9,D47,F47,C47,,,,,,$A$12:$A$24,$C$12:$C$31,$B$3,$B$4,FALSE),1,2)</f>
      </c>
      <c r="I47" s="5">
        <f>INDEX(CEA_TP_SOLVE($A$7:$D$9,D47,F47,C47,,,,,,$A$12:$A$24,$C$12:$C$31,$B$3,$B$4,FALSE),1,3)</f>
      </c>
      <c r="J47" s="5">
        <f>INDEX(CEA_TP_SOLVE($A$7:$D$9,D47,F47,C47,,,,,,$A$12:$A$24,$C$12:$C$31,$B$3,$B$4,FALSE),1,4)</f>
      </c>
      <c r="K47" s="5">
        <f>INDEX(CEA_TP_SOLVE($A$7:$D$9,D47,F47,C47,,,,,,$A$12:$A$24,$C$12:$C$31,$B$3,$B$4,FALSE),1,5)</f>
      </c>
      <c r="L47" s="5">
        <f>INDEX(CEA_TP_SOLVE($A$7:$D$9,D47,F47,C47,,,,,,$A$12:$A$24,$C$12:$C$31,$B$3,$B$4,FALSE),1,6)</f>
      </c>
      <c r="M47" s="5">
        <f>INDEX(CEA_TP_SOLVE($A$7:$D$9,D47,F47,C47,,,,,,$A$12:$A$24,$C$12:$C$31,$B$3,$B$4,FALSE),1,7)</f>
      </c>
      <c r="N47" s="5">
        <f>INDEX(CEA_TP_SOLVE($A$7:$D$9,D47,F47,C47,,,,,,$A$12:$A$24,$C$12:$C$31,$B$3,$B$4,FALSE),1,8)</f>
      </c>
      <c r="O47" s="5">
        <f>INDEX(CEA_TP_SOLVE($A$7:$D$9,D47,F47,C47,,,,,,$A$12:$A$24,$C$12:$C$31,$B$3,$B$4,FALSE),1,9)</f>
      </c>
      <c r="P47" s="5">
        <f>INDEX(CEA_TP_SOLVE($A$7:$D$9,D47,F47,C47,,,,,,$A$12:$A$24,$C$12:$C$31,$B$3,$B$4,FALSE),1,10)</f>
      </c>
      <c r="Q47" s="5">
        <f>INDEX(CEA_TP_SOLVE($A$7:$D$9,D47,F47,C47,,,,,,$A$12:$A$24,$C$12:$C$31,$B$3,$B$4,FALSE),1,11)</f>
      </c>
      <c r="R47" s="5">
        <f>INDEX(CEA_TP_SOLVE($A$7:$D$9,D47,F47,C47,,,,,,$A$12:$A$24,$C$12:$C$31,$B$3,$B$4,FALSE),1,12)</f>
      </c>
      <c r="S47" s="5">
        <f>INDEX(CEA_TP_SOLVE($A$7:$D$9,D47,F47,C47,,,,,,$A$12:$A$24,$C$12:$C$31,$B$3,$B$4,FALSE),1,13)</f>
      </c>
      <c r="T47" s="5">
        <f>INDEX(CEA_TP_SOLVE($A$7:$D$9,D47,F47,C47,,,,,,$A$12:$A$24,$C$12:$C$31,$B$3,$B$4,FALSE),1,14)</f>
      </c>
      <c r="U47" s="5">
        <f>INDEX(CEA_TP_SOLVE($A$7:$D$9,D47,F47,C47,,,,,,$A$12:$A$24,$C$12:$C$31,$B$3,$B$4,FALSE),1,15)</f>
      </c>
      <c r="V47" s="5">
        <f>INDEX(CEA_TP_SOLVE($A$7:$D$9,D47,F47,C47,,,,,,$A$12:$A$24,$C$12:$C$31,$B$3,$B$4,FALSE),1,16)</f>
      </c>
      <c r="W47" s="5">
        <f>INDEX(CEA_TP_SOLVE($A$7:$D$9,D47,F47,C47,,,,,,$A$12:$A$24,$C$12:$C$31,$B$3,$B$4,FALSE),1,17)</f>
      </c>
      <c r="X47" s="5">
        <f>INDEX(CEA_TP_SOLVE($A$7:$D$9,D47,F47,C47,,,,,,$A$12:$A$24,$C$12:$C$31,$B$3,$B$4,FALSE),1,18)</f>
      </c>
      <c r="Y47" s="5">
        <f>INDEX(CEA_TP_SOLVE($A$7:$D$9,D47,F47,C47,,,,,,$A$12:$A$24,$C$12:$C$31,$B$3,$B$4,FALSE),1,19)</f>
      </c>
      <c r="Z47" s="5">
        <f>INDEX(CEA_TP_SOLVE($A$7:$D$9,D47,F47,C47,,,,,,$A$12:$A$24,$C$12:$C$31,$B$3,$B$4,FALSE),1,20)</f>
      </c>
      <c r="AA47" s="5">
        <f>INDEX(CEA_TP_SOLVE($A$7:$D$9,D47,F47,C47,,,,,,$A$12:$A$24,$C$12:$C$31,$B$3,$B$4,FALSE),1,21)</f>
      </c>
      <c r="AB47" s="5">
        <f>INDEX(CEA_TP_SOLVE($A$7:$D$9,D47,F47,C47,,,,,,$A$12:$A$24,$C$12:$C$31,$B$3,$B$4,FALSE),1,22)</f>
      </c>
      <c r="AC47" s="5">
        <f>INDEX(CEA_TP_SOLVE($A$7:$D$9,D47,F47,C47,,,,,,$A$12:$A$24,$C$12:$C$31,$B$3,$B$4,FALSE),1,23)</f>
      </c>
      <c r="AD47" s="5">
        <f>INDEX(CEA_TP_SOLVE($A$7:$D$9,D47,F47,C47,,,,,,$A$12:$A$24,$C$12:$C$31,$B$3,$B$4,FALSE),1,24)</f>
      </c>
      <c r="AE47" s="5">
        <f>INDEX(CEA_TP_SOLVE($A$7:$D$9,D47,F47,C47,,,,,,$A$12:$A$24,$C$12:$C$31,$B$3,$B$4,FALSE),1,25)</f>
      </c>
      <c r="AF47" s="5">
        <f>INDEX(CEA_TP_SOLVE($A$7:$D$9,D47,F47,C47,,,,,,$A$12:$A$24,$C$12:$C$31,$B$3,$B$4,FALSE),1,26)</f>
      </c>
      <c r="AG47" s="5">
        <f>INDEX(CEA_TP_SOLVE($A$7:$D$9,D47,F47,C47,,,,,,$A$12:$A$24,$C$12:$C$31,$B$3,$B$4,FALSE),1,27)</f>
      </c>
      <c r="AH47" s="5">
        <f>INDEX(CEA_TP_SOLVE($A$7:$D$9,D47,F47,C47,,,,,,$A$12:$A$24,$C$12:$C$31,$B$3,$B$4,FALSE),1,28)</f>
      </c>
      <c r="AI47" s="5">
        <f>INDEX(CEA_TP_SOLVE($A$7:$D$9,D47,F47,C47,,,,,,$A$12:$A$24,$C$12:$C$31,$B$3,$B$4,FALSE),1,29)</f>
      </c>
      <c r="AJ47" s="5">
        <f>INDEX(CEA_TP_SOLVE($A$7:$D$9,D47,F47,C47,,,,,,$A$12:$A$24,$C$12:$C$31,$B$3,$B$4,FALSE),1,30)</f>
      </c>
      <c r="AK47" s="5">
        <f>INDEX(CEA_TP_SOLVE($A$7:$D$9,D47,F47,C47,,,,,,$A$12:$A$24,$C$12:$C$31,$B$3,$B$4,FALSE),1,31)</f>
      </c>
      <c r="AL47" s="5">
        <f>INDEX(CEA_TP_SOLVE($A$7:$D$9,D47,F47,C47,,,,,,$A$12:$A$24,$C$12:$C$31,$B$3,$B$4,FALSE),1,32)</f>
      </c>
      <c r="AM47" s="5">
        <f>INDEX(CEA_TP_SOLVE($A$7:$D$9,D47,F47,C47,,,,,,$A$12:$A$24,$C$12:$C$31,$B$3,$B$4,FALSE),1,33)</f>
      </c>
      <c r="AN47" s="5">
        <f>INDEX(CEA_TP_SOLVE($A$7:$D$9,D47,F47,C47,,,,,,$A$12:$A$24,$C$12:$C$31,$B$3,$B$4,FALSE),1,34)</f>
      </c>
      <c r="AO47" s="5">
        <f>INDEX(CEA_TP_SOLVE($A$7:$D$9,D47,F47,C47,,,,,,$A$12:$A$24,$C$12:$C$31,$B$3,$B$4,FALSE),1,35)</f>
      </c>
      <c r="AP47" s="5">
        <f>INDEX(CEA_TP_SOLVE($A$7:$D$9,D47,F47,C47,,,,,,$A$12:$A$24,$C$12:$C$31,$B$3,$B$4,FALSE),1,36)</f>
      </c>
      <c r="AQ47" s="5">
        <f>INDEX(CEA_TP_SOLVE($A$7:$D$9,D47,F47,C47,,,,,,$A$12:$A$24,$C$12:$C$31,$B$3,$B$4,FALSE),1,37)</f>
      </c>
      <c r="AR47" s="5">
        <f>INDEX(CEA_TP_SOLVE($A$7:$D$9,D47,F47,C47,,,,,,$A$12:$A$24,$C$12:$C$31,$B$3,$B$4,FALSE),1,38)</f>
      </c>
      <c r="AS47" s="5">
        <f>INDEX(CEA_TP_SOLVE($A$7:$D$9,D47,F47,C47,,,,,,$A$12:$A$24,$C$12:$C$31,$B$3,$B$4,FALSE),1,39)</f>
      </c>
      <c r="AT47" s="5">
        <f>INDEX(CEA_TP_SOLVE($A$7:$D$9,D47,F47,C47,,,,,,$A$12:$A$24,$C$12:$C$31,$B$3,$B$4,FALSE),1,40)</f>
      </c>
      <c r="AU47" s="5">
        <f>INDEX(CEA_TP_SOLVE($A$7:$D$9,D47,F47,C47,,,,,,$A$12:$A$24,$C$12:$C$31,$B$3,$B$4,FALSE),1,41)</f>
      </c>
      <c r="AV47" s="5">
        <f>INDEX(CEA_TP_SOLVE($A$7:$D$9,D47,F47,C47,,,,,,$A$12:$A$24,$C$12:$C$31,$B$3,$B$4,FALSE),1,42)</f>
      </c>
      <c r="AW47" s="5">
        <f>INDEX(CEA_TP_SOLVE($A$7:$D$9,D47,F47,C47,,,,,,$A$12:$A$24,$C$12:$C$31,$B$3,$B$4,FALSE),1,43)</f>
      </c>
      <c r="AX47" s="5">
        <f>INDEX(CEA_TP_SOLVE($A$7:$D$9,D47,F47,C47,,,,,,$A$12:$A$24,$C$12:$C$31,$B$3,$B$4,FALSE),1,44)</f>
      </c>
      <c r="AY47" s="5">
        <f>INDEX(CEA_TP_SOLVE($A$7:$D$9,D47,F47,C47,,,,,,$A$12:$A$24,$C$12:$C$31,$B$3,$B$4,FALSE),1,45)</f>
      </c>
      <c r="AZ47" s="5">
        <f>INDEX(CEA_TP_SOLVE($A$7:$D$9,D47,F47,C47,,,,,,$A$12:$A$24,$C$12:$C$31,$B$3,$B$4,FALSE),1,46)</f>
      </c>
      <c r="BA47" s="5">
        <f>INDEX(CEA_TP_SOLVE($A$7:$D$9,D47,F47,C47,,,,,,$A$12:$A$24,$C$12:$C$31,$B$3,$B$4,FALSE),1,47)</f>
      </c>
      <c r="BB47" s="5">
        <f>INDEX(CEA_TP_SOLVE($A$7:$D$9,D47,F47,C47,,,,,,$A$12:$A$24,$C$12:$C$31,$B$3,$B$4,FALSE),1,48)</f>
      </c>
      <c r="BC47" s="5">
        <f>INDEX(CEA_TP_SOLVE($A$7:$D$9,D47,F47,C47,,,,,,$A$12:$A$24,$C$12:$C$31,$B$3,$B$4,FALSE),1,49)</f>
      </c>
      <c r="BD47" s="5">
        <f>INDEX(CEA_TP_SOLVE($A$7:$D$9,D47,F47,C47,,,,,,$A$12:$A$24,$C$12:$C$31,$B$3,$B$4,FALSE),1,50)</f>
      </c>
      <c r="BE47" s="5">
        <f>INDEX(CEA_TP_SOLVE($A$7:$D$9,D47,F47,C47,,,,,,$A$12:$A$24,$C$12:$C$31,$B$3,$B$4,FALSE),1,51)</f>
      </c>
      <c r="BF47" s="5">
        <f>INDEX(CEA_TP_SOLVE($A$7:$D$9,D47,F47,C47,,,,,,$A$12:$A$24,$C$12:$C$31,$B$3,$B$4,FALSE),1,52)</f>
      </c>
      <c r="BG47" s="5">
        <f>INDEX(CEA_TP_SOLVE($A$7:$D$9,D47,F47,C47,,,,,,$A$12:$A$24,$C$12:$C$31,$B$3,$B$4,FALSE),1,53)</f>
      </c>
      <c r="BH47" s="5">
        <f>INDEX(CEA_TP_SOLVE($A$7:$D$9,D47,F47,C47,,,,,,$A$12:$A$24,$C$12:$C$31,$B$3,$B$4,FALSE),1,54)</f>
      </c>
      <c r="BI47" s="5">
        <f>INDEX(CEA_TP_SOLVE($A$7:$D$9,D47,F47,C47,,,,,,$A$12:$A$24,$C$12:$C$31,$B$3,$B$4,FALSE),1,55)</f>
      </c>
      <c r="BJ47" s="5">
        <f>INDEX(CEA_TP_SOLVE($A$7:$D$9,D47,F47,C47,,,,,,$A$12:$A$24,$C$12:$C$31,$B$3,$B$4,FALSE),1,56)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ME47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s="3">
        <f>INDEX(CEA_ROCKET_IAC_SOLVE($A$10:$D$12,C47,$D$16:$D$18,$E$16:$E$16,$F$16:$F$18,B47,,,,,$E$11:$E$12,$B$18,,,,,,$A$22:$A$42,$C$22:$C$29,$B$5,$B$6,TRUE),1,1)</f>
      </c>
      <c r="I46" s="3">
        <f>INDEX(CEA_ROCKET_IAC_SOLVE($A$10:$D$12,C47,$D$16:$D$18,$E$16:$E$16,$F$16:$F$18,B47,,,,,$E$11:$E$12,$B$18,,,,,,$A$22:$A$42,$C$22:$C$29,$B$5,$B$6,TRUE),1,2)</f>
      </c>
      <c r="J46" s="3">
        <f>INDEX(CEA_ROCKET_IAC_SOLVE($A$10:$D$12,C47,$D$16:$D$18,$E$16:$E$16,$F$16:$F$18,B47,,,,,$E$11:$E$12,$B$18,,,,,,$A$22:$A$42,$C$22:$C$29,$B$5,$B$6,TRUE),1,3)</f>
      </c>
      <c r="K46" s="3">
        <f>INDEX(CEA_ROCKET_IAC_SOLVE($A$10:$D$12,C47,$D$16:$D$18,$E$16:$E$16,$F$16:$F$18,B47,,,,,$E$11:$E$12,$B$18,,,,,,$A$22:$A$42,$C$22:$C$29,$B$5,$B$6,TRUE),1,4)</f>
      </c>
      <c r="L46" s="3">
        <f>INDEX(CEA_ROCKET_IAC_SOLVE($A$10:$D$12,C47,$D$16:$D$18,$E$16:$E$16,$F$16:$F$18,B47,,,,,$E$11:$E$12,$B$18,,,,,,$A$22:$A$42,$C$22:$C$29,$B$5,$B$6,TRUE),1,5)</f>
      </c>
      <c r="M46" s="3">
        <f>INDEX(CEA_ROCKET_IAC_SOLVE($A$10:$D$12,C47,$D$16:$D$18,$E$16:$E$16,$F$16:$F$18,B47,,,,,$E$11:$E$12,$B$18,,,,,,$A$22:$A$42,$C$22:$C$29,$B$5,$B$6,TRUE),1,6)</f>
      </c>
      <c r="N46" s="3">
        <f>INDEX(CEA_ROCKET_IAC_SOLVE($A$10:$D$12,C47,$D$16:$D$18,$E$16:$E$16,$F$16:$F$18,B47,,,,,$E$11:$E$12,$B$18,,,,,,$A$22:$A$42,$C$22:$C$29,$B$5,$B$6,TRUE),1,7)</f>
      </c>
      <c r="O46" s="3">
        <f>INDEX(CEA_ROCKET_IAC_SOLVE($A$10:$D$12,C47,$D$16:$D$18,$E$16:$E$16,$F$16:$F$18,B47,,,,,$E$11:$E$12,$B$18,,,,,,$A$22:$A$42,$C$22:$C$29,$B$5,$B$6,TRUE),1,8)</f>
      </c>
      <c r="P46" s="3">
        <f>INDEX(CEA_ROCKET_IAC_SOLVE($A$10:$D$12,C47,$D$16:$D$18,$E$16:$E$16,$F$16:$F$18,B47,,,,,$E$11:$E$12,$B$18,,,,,,$A$22:$A$42,$C$22:$C$29,$B$5,$B$6,TRUE),1,9)</f>
      </c>
      <c r="Q46" s="3">
        <f>INDEX(CEA_ROCKET_IAC_SOLVE($A$10:$D$12,C47,$D$16:$D$18,$E$16:$E$16,$F$16:$F$18,B47,,,,,$E$11:$E$12,$B$18,,,,,,$A$22:$A$42,$C$22:$C$29,$B$5,$B$6,TRUE),1,10)</f>
      </c>
      <c r="R46" s="3">
        <f>INDEX(CEA_ROCKET_IAC_SOLVE($A$10:$D$12,C47,$D$16:$D$18,$E$16:$E$16,$F$16:$F$18,B47,,,,,$E$11:$E$12,$B$18,,,,,,$A$22:$A$42,$C$22:$C$29,$B$5,$B$6,TRUE),1,11)</f>
      </c>
      <c r="S46" s="3">
        <f>INDEX(CEA_ROCKET_IAC_SOLVE($A$10:$D$12,C47,$D$16:$D$18,$E$16:$E$16,$F$16:$F$18,B47,,,,,$E$11:$E$12,$B$18,,,,,,$A$22:$A$42,$C$22:$C$29,$B$5,$B$6,TRUE),1,12)</f>
      </c>
      <c r="T46" s="3">
        <f>INDEX(CEA_ROCKET_IAC_SOLVE($A$10:$D$12,C47,$D$16:$D$18,$E$16:$E$16,$F$16:$F$18,B47,,,,,$E$11:$E$12,$B$18,,,,,,$A$22:$A$42,$C$22:$C$29,$B$5,$B$6,TRUE),1,13)</f>
      </c>
      <c r="U46" s="3">
        <f>INDEX(CEA_ROCKET_IAC_SOLVE($A$10:$D$12,C47,$D$16:$D$18,$E$16:$E$16,$F$16:$F$18,B47,,,,,$E$11:$E$12,$B$18,,,,,,$A$22:$A$42,$C$22:$C$29,$B$5,$B$6,TRUE),1,14)</f>
      </c>
      <c r="V46" s="3">
        <f>INDEX(CEA_ROCKET_IAC_SOLVE($A$10:$D$12,C47,$D$16:$D$18,$E$16:$E$16,$F$16:$F$18,B47,,,,,$E$11:$E$12,$B$18,,,,,,$A$22:$A$42,$C$22:$C$29,$B$5,$B$6,TRUE),1,15)</f>
      </c>
      <c r="W46" s="3">
        <f>INDEX(CEA_ROCKET_IAC_SOLVE($A$10:$D$12,C47,$D$16:$D$18,$E$16:$E$16,$F$16:$F$18,B47,,,,,$E$11:$E$12,$B$18,,,,,,$A$22:$A$42,$C$22:$C$29,$B$5,$B$6,TRUE),1,16)</f>
      </c>
      <c r="X46" s="3">
        <f>INDEX(CEA_ROCKET_IAC_SOLVE($A$10:$D$12,C47,$D$16:$D$18,$E$16:$E$16,$F$16:$F$18,B47,,,,,$E$11:$E$12,$B$18,,,,,,$A$22:$A$42,$C$22:$C$29,$B$5,$B$6,TRUE),1,17)</f>
      </c>
      <c r="Y46" s="3">
        <f>INDEX(CEA_ROCKET_IAC_SOLVE($A$10:$D$12,C47,$D$16:$D$18,$E$16:$E$16,$F$16:$F$18,B47,,,,,$E$11:$E$12,$B$18,,,,,,$A$22:$A$42,$C$22:$C$29,$B$5,$B$6,TRUE),1,18)</f>
      </c>
      <c r="Z46" s="3">
        <f>INDEX(CEA_ROCKET_IAC_SOLVE($A$10:$D$12,C47,$D$16:$D$18,$E$16:$E$16,$F$16:$F$18,B47,,,,,$E$11:$E$12,$B$18,,,,,,$A$22:$A$42,$C$22:$C$29,$B$5,$B$6,TRUE),1,19)</f>
      </c>
      <c r="AA46" s="3">
        <f>INDEX(CEA_ROCKET_IAC_SOLVE($A$10:$D$12,C47,$D$16:$D$18,$E$16:$E$16,$F$16:$F$18,B47,,,,,$E$11:$E$12,$B$18,,,,,,$A$22:$A$42,$C$22:$C$29,$B$5,$B$6,TRUE),1,20)</f>
      </c>
      <c r="AB46" s="3">
        <f>INDEX(CEA_ROCKET_IAC_SOLVE($A$10:$D$12,C47,$D$16:$D$18,$E$16:$E$16,$F$16:$F$18,B47,,,,,$E$11:$E$12,$B$18,,,,,,$A$22:$A$42,$C$22:$C$29,$B$5,$B$6,TRUE),1,21)</f>
      </c>
      <c r="AC46" s="3">
        <f>INDEX(CEA_ROCKET_IAC_SOLVE($A$10:$D$12,C47,$D$16:$D$18,$E$16:$E$16,$F$16:$F$18,B47,,,,,$E$11:$E$12,$B$18,,,,,,$A$22:$A$42,$C$22:$C$29,$B$5,$B$6,TRUE),1,22)</f>
      </c>
      <c r="AD46" s="3">
        <f>INDEX(CEA_ROCKET_IAC_SOLVE($A$10:$D$12,C47,$D$16:$D$18,$E$16:$E$16,$F$16:$F$18,B47,,,,,$E$11:$E$12,$B$18,,,,,,$A$22:$A$42,$C$22:$C$29,$B$5,$B$6,TRUE),1,23)</f>
      </c>
      <c r="AE46" s="3">
        <f>INDEX(CEA_ROCKET_IAC_SOLVE($A$10:$D$12,C47,$D$16:$D$18,$E$16:$E$16,$F$16:$F$18,B47,,,,,$E$11:$E$12,$B$18,,,,,,$A$22:$A$42,$C$22:$C$29,$B$5,$B$6,TRUE),1,24)</f>
      </c>
      <c r="AF46" s="3">
        <f>INDEX(CEA_ROCKET_IAC_SOLVE($A$10:$D$12,C47,$D$16:$D$18,$E$16:$E$16,$F$16:$F$18,B47,,,,,$E$11:$E$12,$B$18,,,,,,$A$22:$A$42,$C$22:$C$29,$B$5,$B$6,TRUE),1,25)</f>
      </c>
      <c r="AG46" s="3">
        <f>INDEX(CEA_ROCKET_IAC_SOLVE($A$10:$D$12,C47,$D$16:$D$18,$E$16:$E$16,$F$16:$F$18,B47,,,,,$E$11:$E$12,$B$18,,,,,,$A$22:$A$42,$C$22:$C$29,$B$5,$B$6,TRUE),1,26)</f>
      </c>
      <c r="AH46" s="3">
        <f>INDEX(CEA_ROCKET_IAC_SOLVE($A$10:$D$12,C47,$D$16:$D$18,$E$16:$E$16,$F$16:$F$18,B47,,,,,$E$11:$E$12,$B$18,,,,,,$A$22:$A$42,$C$22:$C$29,$B$5,$B$6,TRUE),1,27)</f>
      </c>
      <c r="AI46" s="3">
        <f>INDEX(CEA_ROCKET_IAC_SOLVE($A$10:$D$12,C47,$D$16:$D$18,$E$16:$E$16,$F$16:$F$18,B47,,,,,$E$11:$E$12,$B$18,,,,,,$A$22:$A$42,$C$22:$C$29,$B$5,$B$6,TRUE),1,28)</f>
      </c>
      <c r="AJ46" s="3">
        <f>INDEX(CEA_ROCKET_IAC_SOLVE($A$10:$D$12,C47,$D$16:$D$18,$E$16:$E$16,$F$16:$F$18,B47,,,,,$E$11:$E$12,$B$18,,,,,,$A$22:$A$42,$C$22:$C$29,$B$5,$B$6,TRUE),1,29)</f>
      </c>
      <c r="AK46" s="3">
        <f>INDEX(CEA_ROCKET_IAC_SOLVE($A$10:$D$12,C47,$D$16:$D$18,$E$16:$E$16,$F$16:$F$18,B47,,,,,$E$11:$E$12,$B$18,,,,,,$A$22:$A$42,$C$22:$C$29,$B$5,$B$6,TRUE),1,30)</f>
      </c>
      <c r="AL46" s="3">
        <f>INDEX(CEA_ROCKET_IAC_SOLVE($A$10:$D$12,C47,$D$16:$D$18,$E$16:$E$16,$F$16:$F$18,B47,,,,,$E$11:$E$12,$B$18,,,,,,$A$22:$A$42,$C$22:$C$29,$B$5,$B$6,TRUE),1,31)</f>
      </c>
      <c r="AM46" s="3">
        <f>INDEX(CEA_ROCKET_IAC_SOLVE($A$10:$D$12,C47,$D$16:$D$18,$E$16:$E$16,$F$16:$F$18,B47,,,,,$E$11:$E$12,$B$18,,,,,,$A$22:$A$42,$C$22:$C$29,$B$5,$B$6,TRUE),1,32)</f>
      </c>
      <c r="AN46" s="3">
        <f>INDEX(CEA_ROCKET_IAC_SOLVE($A$10:$D$12,C47,$D$16:$D$18,$E$16:$E$16,$F$16:$F$18,B47,,,,,$E$11:$E$12,$B$18,,,,,,$A$22:$A$42,$C$22:$C$29,$B$5,$B$6,TRUE),1,33)</f>
      </c>
      <c r="AO46" s="3">
        <f>INDEX(CEA_ROCKET_IAC_SOLVE($A$10:$D$12,C47,$D$16:$D$18,$E$16:$E$16,$F$16:$F$18,B47,,,,,$E$11:$E$12,$B$18,,,,,,$A$22:$A$42,$C$22:$C$29,$B$5,$B$6,TRUE),1,34)</f>
      </c>
      <c r="AP46" s="3">
        <f>INDEX(CEA_ROCKET_IAC_SOLVE($A$10:$D$12,C47,$D$16:$D$18,$E$16:$E$16,$F$16:$F$18,B47,,,,,$E$11:$E$12,$B$18,,,,,,$A$22:$A$42,$C$22:$C$29,$B$5,$B$6,TRUE),1,35)</f>
      </c>
      <c r="AQ46" s="3">
        <f>INDEX(CEA_ROCKET_IAC_SOLVE($A$10:$D$12,C47,$D$16:$D$18,$E$16:$E$16,$F$16:$F$18,B47,,,,,$E$11:$E$12,$B$18,,,,,,$A$22:$A$42,$C$22:$C$29,$B$5,$B$6,TRUE),1,36)</f>
      </c>
      <c r="AR46" s="3">
        <f>INDEX(CEA_ROCKET_IAC_SOLVE($A$10:$D$12,C47,$D$16:$D$18,$E$16:$E$16,$F$16:$F$18,B47,,,,,$E$11:$E$12,$B$18,,,,,,$A$22:$A$42,$C$22:$C$29,$B$5,$B$6,TRUE),1,37)</f>
      </c>
      <c r="AS46" s="3">
        <f>INDEX(CEA_ROCKET_IAC_SOLVE($A$10:$D$12,C47,$D$16:$D$18,$E$16:$E$16,$F$16:$F$18,B47,,,,,$E$11:$E$12,$B$18,,,,,,$A$22:$A$42,$C$22:$C$29,$B$5,$B$6,TRUE),1,38)</f>
      </c>
      <c r="AT46" s="3">
        <f>INDEX(CEA_ROCKET_IAC_SOLVE($A$10:$D$12,C47,$D$16:$D$18,$E$16:$E$16,$F$16:$F$18,B47,,,,,$E$11:$E$12,$B$18,,,,,,$A$22:$A$42,$C$22:$C$29,$B$5,$B$6,TRUE),1,39)</f>
      </c>
      <c r="AU46" s="3">
        <f>INDEX(CEA_ROCKET_IAC_SOLVE($A$10:$D$12,C47,$D$16:$D$18,$E$16:$E$16,$F$16:$F$18,B47,,,,,$E$11:$E$12,$B$18,,,,,,$A$22:$A$42,$C$22:$C$29,$B$5,$B$6,TRUE),1,40)</f>
      </c>
      <c r="AV46" s="3">
        <f>INDEX(CEA_ROCKET_IAC_SOLVE($A$10:$D$12,C47,$D$16:$D$18,$E$16:$E$16,$F$16:$F$18,B47,,,,,$E$11:$E$12,$B$18,,,,,,$A$22:$A$42,$C$22:$C$29,$B$5,$B$6,TRUE),1,41)</f>
      </c>
      <c r="AW46" s="3">
        <f>INDEX(CEA_ROCKET_IAC_SOLVE($A$10:$D$12,C47,$D$16:$D$18,$E$16:$E$16,$F$16:$F$18,B47,,,,,$E$11:$E$12,$B$18,,,,,,$A$22:$A$42,$C$22:$C$29,$B$5,$B$6,TRUE),1,42)</f>
      </c>
      <c r="AX46" s="3">
        <f>INDEX(CEA_ROCKET_IAC_SOLVE($A$10:$D$12,C47,$D$16:$D$18,$E$16:$E$16,$F$16:$F$18,B47,,,,,$E$11:$E$12,$B$18,,,,,,$A$22:$A$42,$C$22:$C$29,$B$5,$B$6,TRUE),1,43)</f>
      </c>
      <c r="AY46" s="3">
        <f>INDEX(CEA_ROCKET_IAC_SOLVE($A$10:$D$12,C47,$D$16:$D$18,$E$16:$E$16,$F$16:$F$18,B47,,,,,$E$11:$E$12,$B$18,,,,,,$A$22:$A$42,$C$22:$C$29,$B$5,$B$6,TRUE),1,44)</f>
      </c>
      <c r="AZ46" s="3">
        <f>INDEX(CEA_ROCKET_IAC_SOLVE($A$10:$D$12,C47,$D$16:$D$18,$E$16:$E$16,$F$16:$F$18,B47,,,,,$E$11:$E$12,$B$18,,,,,,$A$22:$A$42,$C$22:$C$29,$B$5,$B$6,TRUE),1,45)</f>
      </c>
      <c r="BA46" s="3">
        <f>INDEX(CEA_ROCKET_IAC_SOLVE($A$10:$D$12,C47,$D$16:$D$18,$E$16:$E$16,$F$16:$F$18,B47,,,,,$E$11:$E$12,$B$18,,,,,,$A$22:$A$42,$C$22:$C$29,$B$5,$B$6,TRUE),1,46)</f>
      </c>
      <c r="BB46" s="3">
        <f>INDEX(CEA_ROCKET_IAC_SOLVE($A$10:$D$12,C47,$D$16:$D$18,$E$16:$E$16,$F$16:$F$18,B47,,,,,$E$11:$E$12,$B$18,,,,,,$A$22:$A$42,$C$22:$C$29,$B$5,$B$6,TRUE),1,47)</f>
      </c>
      <c r="BC46" s="3">
        <f>INDEX(CEA_ROCKET_IAC_SOLVE($A$10:$D$12,C47,$D$16:$D$18,$E$16:$E$16,$F$16:$F$18,B47,,,,,$E$11:$E$12,$B$18,,,,,,$A$22:$A$42,$C$22:$C$29,$B$5,$B$6,TRUE),1,48)</f>
      </c>
      <c r="BD46" s="3">
        <f>INDEX(CEA_ROCKET_IAC_SOLVE($A$10:$D$12,C47,$D$16:$D$18,$E$16:$E$16,$F$16:$F$18,B47,,,,,$E$11:$E$12,$B$18,,,,,,$A$22:$A$42,$C$22:$C$29,$B$5,$B$6,TRUE),1,49)</f>
      </c>
      <c r="BE46" s="3">
        <f>INDEX(CEA_ROCKET_IAC_SOLVE($A$10:$D$12,C47,$D$16:$D$18,$E$16:$E$16,$F$16:$F$18,B47,,,,,$E$11:$E$12,$B$18,,,,,,$A$22:$A$42,$C$22:$C$29,$B$5,$B$6,TRUE),1,50)</f>
      </c>
      <c r="BF46" s="3">
        <f>INDEX(CEA_ROCKET_IAC_SOLVE($A$10:$D$12,C47,$D$16:$D$18,$E$16:$E$16,$F$16:$F$18,B47,,,,,$E$11:$E$12,$B$18,,,,,,$A$22:$A$42,$C$22:$C$29,$B$5,$B$6,TRUE),1,51)</f>
      </c>
      <c r="BG46" s="3">
        <f>INDEX(CEA_ROCKET_IAC_SOLVE($A$10:$D$12,C47,$D$16:$D$18,$E$16:$E$16,$F$16:$F$18,B47,,,,,$E$11:$E$12,$B$18,,,,,,$A$22:$A$42,$C$22:$C$29,$B$5,$B$6,TRUE),1,52)</f>
      </c>
      <c r="BH46" s="3">
        <f>INDEX(CEA_ROCKET_IAC_SOLVE($A$10:$D$12,C47,$D$16:$D$18,$E$16:$E$16,$F$16:$F$18,B47,,,,,$E$11:$E$12,$B$18,,,,,,$A$22:$A$42,$C$22:$C$29,$B$5,$B$6,TRUE),1,53)</f>
      </c>
      <c r="BI46" s="3">
        <f>INDEX(CEA_ROCKET_IAC_SOLVE($A$10:$D$12,C47,$D$16:$D$18,$E$16:$E$16,$F$16:$F$18,B47,,,,,$E$11:$E$12,$B$18,,,,,,$A$22:$A$42,$C$22:$C$29,$B$5,$B$6,TRUE),1,54)</f>
      </c>
      <c r="BJ46" s="3">
        <f>INDEX(CEA_ROCKET_IAC_SOLVE($A$10:$D$12,C47,$D$16:$D$18,$E$16:$E$16,$F$16:$F$18,B47,,,,,$E$11:$E$12,$B$18,,,,,,$A$22:$A$42,$C$22:$C$29,$B$5,$B$6,TRUE),1,55)</f>
      </c>
      <c r="BK46" s="3">
        <f>INDEX(CEA_ROCKET_IAC_SOLVE($A$10:$D$12,C47,$D$16:$D$18,$E$16:$E$16,$F$16:$F$18,B47,,,,,$E$11:$E$12,$B$18,,,,,,$A$22:$A$42,$C$22:$C$29,$B$5,$B$6,TRUE),1,56)</f>
      </c>
      <c r="BL46" s="3">
        <f>INDEX(CEA_ROCKET_IAC_SOLVE($A$10:$D$12,C47,$D$16:$D$18,$E$16:$E$16,$F$16:$F$18,B47,,,,,$E$11:$E$12,$B$18,,,,,,$A$22:$A$42,$C$22:$C$29,$B$5,$B$6,TRUE),1,57)</f>
      </c>
      <c r="BM46" s="3">
        <f>INDEX(CEA_ROCKET_IAC_SOLVE($A$10:$D$12,C47,$D$16:$D$18,$E$16:$E$16,$F$16:$F$18,B47,,,,,$E$11:$E$12,$B$18,,,,,,$A$22:$A$42,$C$22:$C$29,$B$5,$B$6,TRUE),1,58)</f>
      </c>
      <c r="BN46" s="3">
        <f>INDEX(CEA_ROCKET_IAC_SOLVE($A$10:$D$12,C47,$D$16:$D$18,$E$16:$E$16,$F$16:$F$18,B47,,,,,$E$11:$E$12,$B$18,,,,,,$A$22:$A$42,$C$22:$C$29,$B$5,$B$6,TRUE),1,59)</f>
      </c>
      <c r="BO46" s="3">
        <f>INDEX(CEA_ROCKET_IAC_SOLVE($A$10:$D$12,C47,$D$16:$D$18,$E$16:$E$16,$F$16:$F$18,B47,,,,,$E$11:$E$12,$B$18,,,,,,$A$22:$A$42,$C$22:$C$29,$B$5,$B$6,TRUE),1,60)</f>
      </c>
      <c r="BP46" s="3">
        <f>INDEX(CEA_ROCKET_IAC_SOLVE($A$10:$D$12,C47,$D$16:$D$18,$E$16:$E$16,$F$16:$F$18,B47,,,,,$E$11:$E$12,$B$18,,,,,,$A$22:$A$42,$C$22:$C$29,$B$5,$B$6,TRUE),1,61)</f>
      </c>
      <c r="BQ46" s="3">
        <f>INDEX(CEA_ROCKET_IAC_SOLVE($A$10:$D$12,C47,$D$16:$D$18,$E$16:$E$16,$F$16:$F$18,B47,,,,,$E$11:$E$12,$B$18,,,,,,$A$22:$A$42,$C$22:$C$29,$B$5,$B$6,TRUE),1,62)</f>
      </c>
      <c r="BR46" s="3">
        <f>INDEX(CEA_ROCKET_IAC_SOLVE($A$10:$D$12,C47,$D$16:$D$18,$E$16:$E$16,$F$16:$F$18,B47,,,,,$E$11:$E$12,$B$18,,,,,,$A$22:$A$42,$C$22:$C$29,$B$5,$B$6,TRUE),1,63)</f>
      </c>
      <c r="BS46" s="3">
        <f>INDEX(CEA_ROCKET_IAC_SOLVE($A$10:$D$12,C47,$D$16:$D$18,$E$16:$E$16,$F$16:$F$18,B47,,,,,$E$11:$E$12,$B$18,,,,,,$A$22:$A$42,$C$22:$C$29,$B$5,$B$6,TRUE),1,64)</f>
      </c>
      <c r="BT46" s="3">
        <f>INDEX(CEA_ROCKET_IAC_SOLVE($A$10:$D$12,C47,$D$16:$D$18,$E$16:$E$16,$F$16:$F$18,B47,,,,,$E$11:$E$12,$B$18,,,,,,$A$22:$A$42,$C$22:$C$29,$B$5,$B$6,TRUE),1,65)</f>
      </c>
      <c r="BU46" s="3">
        <f>INDEX(CEA_ROCKET_IAC_SOLVE($A$10:$D$12,C47,$D$16:$D$18,$E$16:$E$16,$F$16:$F$18,B47,,,,,$E$11:$E$12,$B$18,,,,,,$A$22:$A$42,$C$22:$C$29,$B$5,$B$6,TRUE),1,66)</f>
      </c>
      <c r="BV46" s="3">
        <f>INDEX(CEA_ROCKET_IAC_SOLVE($A$10:$D$12,C47,$D$16:$D$18,$E$16:$E$16,$F$16:$F$18,B47,,,,,$E$11:$E$12,$B$18,,,,,,$A$22:$A$42,$C$22:$C$29,$B$5,$B$6,TRUE),1,67)</f>
      </c>
      <c r="BW46" s="3">
        <f>INDEX(CEA_ROCKET_IAC_SOLVE($A$10:$D$12,C47,$D$16:$D$18,$E$16:$E$16,$F$16:$F$18,B47,,,,,$E$11:$E$12,$B$18,,,,,,$A$22:$A$42,$C$22:$C$29,$B$5,$B$6,TRUE),1,68)</f>
      </c>
      <c r="BX46" s="3">
        <f>INDEX(CEA_ROCKET_IAC_SOLVE($A$10:$D$12,C47,$D$16:$D$18,$E$16:$E$16,$F$16:$F$18,B47,,,,,$E$11:$E$12,$B$18,,,,,,$A$22:$A$42,$C$22:$C$29,$B$5,$B$6,TRUE),1,69)</f>
      </c>
      <c r="BY46" s="3">
        <f>INDEX(CEA_ROCKET_IAC_SOLVE($A$10:$D$12,C47,$D$16:$D$18,$E$16:$E$16,$F$16:$F$18,B47,,,,,$E$11:$E$12,$B$18,,,,,,$A$22:$A$42,$C$22:$C$29,$B$5,$B$6,TRUE),1,70)</f>
      </c>
      <c r="BZ46" s="3">
        <f>INDEX(CEA_ROCKET_IAC_SOLVE($A$10:$D$12,C47,$D$16:$D$18,$E$16:$E$16,$F$16:$F$18,B47,,,,,$E$11:$E$12,$B$18,,,,,,$A$22:$A$42,$C$22:$C$29,$B$5,$B$6,TRUE),1,71)</f>
      </c>
      <c r="CA46" s="3">
        <f>INDEX(CEA_ROCKET_IAC_SOLVE($A$10:$D$12,C47,$D$16:$D$18,$E$16:$E$16,$F$16:$F$18,B47,,,,,$E$11:$E$12,$B$18,,,,,,$A$22:$A$42,$C$22:$C$29,$B$5,$B$6,TRUE),1,72)</f>
      </c>
      <c r="CB46" s="3">
        <f>INDEX(CEA_ROCKET_IAC_SOLVE($A$10:$D$12,C47,$D$16:$D$18,$E$16:$E$16,$F$16:$F$18,B47,,,,,$E$11:$E$12,$B$18,,,,,,$A$22:$A$42,$C$22:$C$29,$B$5,$B$6,TRUE),1,73)</f>
      </c>
      <c r="CC46" s="3">
        <f>INDEX(CEA_ROCKET_IAC_SOLVE($A$10:$D$12,C47,$D$16:$D$18,$E$16:$E$16,$F$16:$F$18,B47,,,,,$E$11:$E$12,$B$18,,,,,,$A$22:$A$42,$C$22:$C$29,$B$5,$B$6,TRUE),1,74)</f>
      </c>
      <c r="CD46" s="3">
        <f>INDEX(CEA_ROCKET_IAC_SOLVE($A$10:$D$12,C47,$D$16:$D$18,$E$16:$E$16,$F$16:$F$18,B47,,,,,$E$11:$E$12,$B$18,,,,,,$A$22:$A$42,$C$22:$C$29,$B$5,$B$6,TRUE),1,75)</f>
      </c>
      <c r="CE46" s="3">
        <f>INDEX(CEA_ROCKET_IAC_SOLVE($A$10:$D$12,C47,$D$16:$D$18,$E$16:$E$16,$F$16:$F$18,B47,,,,,$E$11:$E$12,$B$18,,,,,,$A$22:$A$42,$C$22:$C$29,$B$5,$B$6,TRUE),1,76)</f>
      </c>
      <c r="CF46" s="3">
        <f>INDEX(CEA_ROCKET_IAC_SOLVE($A$10:$D$12,C47,$D$16:$D$18,$E$16:$E$16,$F$16:$F$18,B47,,,,,$E$11:$E$12,$B$18,,,,,,$A$22:$A$42,$C$22:$C$29,$B$5,$B$6,TRUE),1,77)</f>
      </c>
      <c r="CG46" s="3">
        <f>INDEX(CEA_ROCKET_IAC_SOLVE($A$10:$D$12,C47,$D$16:$D$18,$E$16:$E$16,$F$16:$F$18,B47,,,,,$E$11:$E$12,$B$18,,,,,,$A$22:$A$42,$C$22:$C$29,$B$5,$B$6,TRUE),1,78)</f>
      </c>
      <c r="CH46" s="3">
        <f>INDEX(CEA_ROCKET_IAC_SOLVE($A$10:$D$12,C47,$D$16:$D$18,$E$16:$E$16,$F$16:$F$18,B47,,,,,$E$11:$E$12,$B$18,,,,,,$A$22:$A$42,$C$22:$C$29,$B$5,$B$6,TRUE),1,79)</f>
      </c>
      <c r="CI46" s="3">
        <f>INDEX(CEA_ROCKET_IAC_SOLVE($A$10:$D$12,C47,$D$16:$D$18,$E$16:$E$16,$F$16:$F$18,B47,,,,,$E$11:$E$12,$B$18,,,,,,$A$22:$A$42,$C$22:$C$29,$B$5,$B$6,TRUE),1,80)</f>
      </c>
      <c r="CJ46" s="3">
        <f>INDEX(CEA_ROCKET_IAC_SOLVE($A$10:$D$12,C47,$D$16:$D$18,$E$16:$E$16,$F$16:$F$18,B47,,,,,$E$11:$E$12,$B$18,,,,,,$A$22:$A$42,$C$22:$C$29,$B$5,$B$6,TRUE),1,81)</f>
      </c>
      <c r="CK46" s="3">
        <f>INDEX(CEA_ROCKET_IAC_SOLVE($A$10:$D$12,C47,$D$16:$D$18,$E$16:$E$16,$F$16:$F$18,B47,,,,,$E$11:$E$12,$B$18,,,,,,$A$22:$A$42,$C$22:$C$29,$B$5,$B$6,TRUE),1,82)</f>
      </c>
      <c r="CL46" s="3">
        <f>INDEX(CEA_ROCKET_IAC_SOLVE($A$10:$D$12,C47,$D$16:$D$18,$E$16:$E$16,$F$16:$F$18,B47,,,,,$E$11:$E$12,$B$18,,,,,,$A$22:$A$42,$C$22:$C$29,$B$5,$B$6,TRUE),1,83)</f>
      </c>
      <c r="CM46" s="3">
        <f>INDEX(CEA_ROCKET_IAC_SOLVE($A$10:$D$12,C47,$D$16:$D$18,$E$16:$E$16,$F$16:$F$18,B47,,,,,$E$11:$E$12,$B$18,,,,,,$A$22:$A$42,$C$22:$C$29,$B$5,$B$6,TRUE),1,84)</f>
      </c>
      <c r="CN46" s="3">
        <f>INDEX(CEA_ROCKET_IAC_SOLVE($A$10:$D$12,C47,$D$16:$D$18,$E$16:$E$16,$F$16:$F$18,B47,,,,,$E$11:$E$12,$B$18,,,,,,$A$22:$A$42,$C$22:$C$29,$B$5,$B$6,TRUE),1,85)</f>
      </c>
      <c r="CO46" s="3">
        <f>INDEX(CEA_ROCKET_IAC_SOLVE($A$10:$D$12,C47,$D$16:$D$18,$E$16:$E$16,$F$16:$F$18,B47,,,,,$E$11:$E$12,$B$18,,,,,,$A$22:$A$42,$C$22:$C$29,$B$5,$B$6,TRUE),1,86)</f>
      </c>
      <c r="CP46" s="3">
        <f>INDEX(CEA_ROCKET_IAC_SOLVE($A$10:$D$12,C47,$D$16:$D$18,$E$16:$E$16,$F$16:$F$18,B47,,,,,$E$11:$E$12,$B$18,,,,,,$A$22:$A$42,$C$22:$C$29,$B$5,$B$6,TRUE),1,87)</f>
      </c>
      <c r="CQ46" s="3">
        <f>INDEX(CEA_ROCKET_IAC_SOLVE($A$10:$D$12,C47,$D$16:$D$18,$E$16:$E$16,$F$16:$F$18,B47,,,,,$E$11:$E$12,$B$18,,,,,,$A$22:$A$42,$C$22:$C$29,$B$5,$B$6,TRUE),1,88)</f>
      </c>
      <c r="CR46" s="3">
        <f>INDEX(CEA_ROCKET_IAC_SOLVE($A$10:$D$12,C47,$D$16:$D$18,$E$16:$E$16,$F$16:$F$18,B47,,,,,$E$11:$E$12,$B$18,,,,,,$A$22:$A$42,$C$22:$C$29,$B$5,$B$6,TRUE),1,89)</f>
      </c>
      <c r="CS46" s="3">
        <f>INDEX(CEA_ROCKET_IAC_SOLVE($A$10:$D$12,C47,$D$16:$D$18,$E$16:$E$16,$F$16:$F$18,B47,,,,,$E$11:$E$12,$B$18,,,,,,$A$22:$A$42,$C$22:$C$29,$B$5,$B$6,TRUE),1,90)</f>
      </c>
      <c r="CT46" s="3">
        <f>INDEX(CEA_ROCKET_IAC_SOLVE($A$10:$D$12,C47,$D$16:$D$18,$E$16:$E$16,$F$16:$F$18,B47,,,,,$E$11:$E$12,$B$18,,,,,,$A$22:$A$42,$C$22:$C$29,$B$5,$B$6,TRUE),1,91)</f>
      </c>
      <c r="CU46" s="3">
        <f>INDEX(CEA_ROCKET_IAC_SOLVE($A$10:$D$12,C47,$D$16:$D$18,$E$16:$E$16,$F$16:$F$18,B47,,,,,$E$11:$E$12,$B$18,,,,,,$A$22:$A$42,$C$22:$C$29,$B$5,$B$6,TRUE),1,92)</f>
      </c>
      <c r="CV46" s="3">
        <f>INDEX(CEA_ROCKET_IAC_SOLVE($A$10:$D$12,C47,$D$16:$D$18,$E$16:$E$16,$F$16:$F$18,B47,,,,,$E$11:$E$12,$B$18,,,,,,$A$22:$A$42,$C$22:$C$29,$B$5,$B$6,TRUE),1,93)</f>
      </c>
      <c r="CW46" s="3">
        <f>INDEX(CEA_ROCKET_IAC_SOLVE($A$10:$D$12,C47,$D$16:$D$18,$E$16:$E$16,$F$16:$F$18,B47,,,,,$E$11:$E$12,$B$18,,,,,,$A$22:$A$42,$C$22:$C$29,$B$5,$B$6,TRUE),1,94)</f>
      </c>
      <c r="CX46" s="3">
        <f>INDEX(CEA_ROCKET_IAC_SOLVE($A$10:$D$12,C47,$D$16:$D$18,$E$16:$E$16,$F$16:$F$18,B47,,,,,$E$11:$E$12,$B$18,,,,,,$A$22:$A$42,$C$22:$C$29,$B$5,$B$6,TRUE),1,95)</f>
      </c>
      <c r="CY46" s="3">
        <f>INDEX(CEA_ROCKET_IAC_SOLVE($A$10:$D$12,C47,$D$16:$D$18,$E$16:$E$16,$F$16:$F$18,B47,,,,,$E$11:$E$12,$B$18,,,,,,$A$22:$A$42,$C$22:$C$29,$B$5,$B$6,TRUE),1,96)</f>
      </c>
      <c r="CZ46" s="3">
        <f>INDEX(CEA_ROCKET_IAC_SOLVE($A$10:$D$12,C47,$D$16:$D$18,$E$16:$E$16,$F$16:$F$18,B47,,,,,$E$11:$E$12,$B$18,,,,,,$A$22:$A$42,$C$22:$C$29,$B$5,$B$6,TRUE),1,97)</f>
      </c>
      <c r="DA46" s="3">
        <f>INDEX(CEA_ROCKET_IAC_SOLVE($A$10:$D$12,C47,$D$16:$D$18,$E$16:$E$16,$F$16:$F$18,B47,,,,,$E$11:$E$12,$B$18,,,,,,$A$22:$A$42,$C$22:$C$29,$B$5,$B$6,TRUE),1,98)</f>
      </c>
      <c r="DB46" s="3">
        <f>INDEX(CEA_ROCKET_IAC_SOLVE($A$10:$D$12,C47,$D$16:$D$18,$E$16:$E$16,$F$16:$F$18,B47,,,,,$E$11:$E$12,$B$18,,,,,,$A$22:$A$42,$C$22:$C$29,$B$5,$B$6,TRUE),1,99)</f>
      </c>
      <c r="DC46" s="3">
        <f>INDEX(CEA_ROCKET_IAC_SOLVE($A$10:$D$12,C47,$D$16:$D$18,$E$16:$E$16,$F$16:$F$18,B47,,,,,$E$11:$E$12,$B$18,,,,,,$A$22:$A$42,$C$22:$C$29,$B$5,$B$6,TRUE),1,100)</f>
      </c>
      <c r="DD46" s="3">
        <f>INDEX(CEA_ROCKET_IAC_SOLVE($A$10:$D$12,C47,$D$16:$D$18,$E$16:$E$16,$F$16:$F$18,B47,,,,,$E$11:$E$12,$B$18,,,,,,$A$22:$A$42,$C$22:$C$29,$B$5,$B$6,TRUE),1,101)</f>
      </c>
      <c r="DE46" s="3">
        <f>INDEX(CEA_ROCKET_IAC_SOLVE($A$10:$D$12,C47,$D$16:$D$18,$E$16:$E$16,$F$16:$F$18,B47,,,,,$E$11:$E$12,$B$18,,,,,,$A$22:$A$42,$C$22:$C$29,$B$5,$B$6,TRUE),1,102)</f>
      </c>
      <c r="DF46" s="3">
        <f>INDEX(CEA_ROCKET_IAC_SOLVE($A$10:$D$12,C47,$D$16:$D$18,$E$16:$E$16,$F$16:$F$18,B47,,,,,$E$11:$E$12,$B$18,,,,,,$A$22:$A$42,$C$22:$C$29,$B$5,$B$6,TRUE),1,103)</f>
      </c>
      <c r="DG46" s="3">
        <f>INDEX(CEA_ROCKET_IAC_SOLVE($A$10:$D$12,C47,$D$16:$D$18,$E$16:$E$16,$F$16:$F$18,B47,,,,,$E$11:$E$12,$B$18,,,,,,$A$22:$A$42,$C$22:$C$29,$B$5,$B$6,TRUE),1,104)</f>
      </c>
      <c r="DH46" s="3">
        <f>INDEX(CEA_ROCKET_IAC_SOLVE($A$10:$D$12,C47,$D$16:$D$18,$E$16:$E$16,$F$16:$F$18,B47,,,,,$E$11:$E$12,$B$18,,,,,,$A$22:$A$42,$C$22:$C$29,$B$5,$B$6,TRUE),1,105)</f>
      </c>
      <c r="DI46" s="3">
        <f>INDEX(CEA_ROCKET_IAC_SOLVE($A$10:$D$12,C47,$D$16:$D$18,$E$16:$E$16,$F$16:$F$18,B47,,,,,$E$11:$E$12,$B$18,,,,,,$A$22:$A$42,$C$22:$C$29,$B$5,$B$6,TRUE),1,106)</f>
      </c>
      <c r="DJ46" s="3">
        <f>INDEX(CEA_ROCKET_IAC_SOLVE($A$10:$D$12,C47,$D$16:$D$18,$E$16:$E$16,$F$16:$F$18,B47,,,,,$E$11:$E$12,$B$18,,,,,,$A$22:$A$42,$C$22:$C$29,$B$5,$B$6,TRUE),1,107)</f>
      </c>
      <c r="DK46" s="3">
        <f>INDEX(CEA_ROCKET_IAC_SOLVE($A$10:$D$12,C47,$D$16:$D$18,$E$16:$E$16,$F$16:$F$18,B47,,,,,$E$11:$E$12,$B$18,,,,,,$A$22:$A$42,$C$22:$C$29,$B$5,$B$6,TRUE),1,108)</f>
      </c>
      <c r="DL46" s="3">
        <f>INDEX(CEA_ROCKET_IAC_SOLVE($A$10:$D$12,C47,$D$16:$D$18,$E$16:$E$16,$F$16:$F$18,B47,,,,,$E$11:$E$12,$B$18,,,,,,$A$22:$A$42,$C$22:$C$29,$B$5,$B$6,TRUE),1,109)</f>
      </c>
      <c r="DM46" s="3">
        <f>INDEX(CEA_ROCKET_IAC_SOLVE($A$10:$D$12,C47,$D$16:$D$18,$E$16:$E$16,$F$16:$F$18,B47,,,,,$E$11:$E$12,$B$18,,,,,,$A$22:$A$42,$C$22:$C$29,$B$5,$B$6,TRUE),1,110)</f>
      </c>
      <c r="DN46" s="3">
        <f>INDEX(CEA_ROCKET_IAC_SOLVE($A$10:$D$12,C47,$D$16:$D$18,$E$16:$E$16,$F$16:$F$18,B47,,,,,$E$11:$E$12,$B$18,,,,,,$A$22:$A$42,$C$22:$C$29,$B$5,$B$6,TRUE),1,111)</f>
      </c>
      <c r="DO46" s="3">
        <f>INDEX(CEA_ROCKET_IAC_SOLVE($A$10:$D$12,C47,$D$16:$D$18,$E$16:$E$16,$F$16:$F$18,B47,,,,,$E$11:$E$12,$B$18,,,,,,$A$22:$A$42,$C$22:$C$29,$B$5,$B$6,TRUE),1,112)</f>
      </c>
      <c r="DP46" s="3">
        <f>INDEX(CEA_ROCKET_IAC_SOLVE($A$10:$D$12,C47,$D$16:$D$18,$E$16:$E$16,$F$16:$F$18,B47,,,,,$E$11:$E$12,$B$18,,,,,,$A$22:$A$42,$C$22:$C$29,$B$5,$B$6,TRUE),1,113)</f>
      </c>
      <c r="DQ46" s="3">
        <f>INDEX(CEA_ROCKET_IAC_SOLVE($A$10:$D$12,C47,$D$16:$D$18,$E$16:$E$16,$F$16:$F$18,B47,,,,,$E$11:$E$12,$B$18,,,,,,$A$22:$A$42,$C$22:$C$29,$B$5,$B$6,TRUE),1,114)</f>
      </c>
      <c r="DR46" s="3">
        <f>INDEX(CEA_ROCKET_IAC_SOLVE($A$10:$D$12,C47,$D$16:$D$18,$E$16:$E$16,$F$16:$F$18,B47,,,,,$E$11:$E$12,$B$18,,,,,,$A$22:$A$42,$C$22:$C$29,$B$5,$B$6,TRUE),1,115)</f>
      </c>
      <c r="DS46" s="3">
        <f>INDEX(CEA_ROCKET_IAC_SOLVE($A$10:$D$12,C47,$D$16:$D$18,$E$16:$E$16,$F$16:$F$18,B47,,,,,$E$11:$E$12,$B$18,,,,,,$A$22:$A$42,$C$22:$C$29,$B$5,$B$6,TRUE),1,116)</f>
      </c>
      <c r="DT46" s="3">
        <f>INDEX(CEA_ROCKET_IAC_SOLVE($A$10:$D$12,C47,$D$16:$D$18,$E$16:$E$16,$F$16:$F$18,B47,,,,,$E$11:$E$12,$B$18,,,,,,$A$22:$A$42,$C$22:$C$29,$B$5,$B$6,TRUE),1,117)</f>
      </c>
      <c r="DU46" s="3">
        <f>INDEX(CEA_ROCKET_IAC_SOLVE($A$10:$D$12,C47,$D$16:$D$18,$E$16:$E$16,$F$16:$F$18,B47,,,,,$E$11:$E$12,$B$18,,,,,,$A$22:$A$42,$C$22:$C$29,$B$5,$B$6,TRUE),1,118)</f>
      </c>
      <c r="DV46" s="3">
        <f>INDEX(CEA_ROCKET_IAC_SOLVE($A$10:$D$12,C47,$D$16:$D$18,$E$16:$E$16,$F$16:$F$18,B47,,,,,$E$11:$E$12,$B$18,,,,,,$A$22:$A$42,$C$22:$C$29,$B$5,$B$6,TRUE),1,119)</f>
      </c>
      <c r="DW46" s="3">
        <f>INDEX(CEA_ROCKET_IAC_SOLVE($A$10:$D$12,C47,$D$16:$D$18,$E$16:$E$16,$F$16:$F$18,B47,,,,,$E$11:$E$12,$B$18,,,,,,$A$22:$A$42,$C$22:$C$29,$B$5,$B$6,TRUE),1,120)</f>
      </c>
      <c r="DX46" s="3">
        <f>INDEX(CEA_ROCKET_IAC_SOLVE($A$10:$D$12,C47,$D$16:$D$18,$E$16:$E$16,$F$16:$F$18,B47,,,,,$E$11:$E$12,$B$18,,,,,,$A$22:$A$42,$C$22:$C$29,$B$5,$B$6,TRUE),1,121)</f>
      </c>
      <c r="DY46" s="3">
        <f>INDEX(CEA_ROCKET_IAC_SOLVE($A$10:$D$12,C47,$D$16:$D$18,$E$16:$E$16,$F$16:$F$18,B47,,,,,$E$11:$E$12,$B$18,,,,,,$A$22:$A$42,$C$22:$C$29,$B$5,$B$6,TRUE),1,122)</f>
      </c>
      <c r="DZ46" s="3">
        <f>INDEX(CEA_ROCKET_IAC_SOLVE($A$10:$D$12,C47,$D$16:$D$18,$E$16:$E$16,$F$16:$F$18,B47,,,,,$E$11:$E$12,$B$18,,,,,,$A$22:$A$42,$C$22:$C$29,$B$5,$B$6,TRUE),1,123)</f>
      </c>
      <c r="EA46" s="3">
        <f>INDEX(CEA_ROCKET_IAC_SOLVE($A$10:$D$12,C47,$D$16:$D$18,$E$16:$E$16,$F$16:$F$18,B47,,,,,$E$11:$E$12,$B$18,,,,,,$A$22:$A$42,$C$22:$C$29,$B$5,$B$6,TRUE),1,124)</f>
      </c>
      <c r="EB46" s="3">
        <f>INDEX(CEA_ROCKET_IAC_SOLVE($A$10:$D$12,C47,$D$16:$D$18,$E$16:$E$16,$F$16:$F$18,B47,,,,,$E$11:$E$12,$B$18,,,,,,$A$22:$A$42,$C$22:$C$29,$B$5,$B$6,TRUE),1,125)</f>
      </c>
      <c r="EC46" s="3">
        <f>INDEX(CEA_ROCKET_IAC_SOLVE($A$10:$D$12,C47,$D$16:$D$18,$E$16:$E$16,$F$16:$F$18,B47,,,,,$E$11:$E$12,$B$18,,,,,,$A$22:$A$42,$C$22:$C$29,$B$5,$B$6,TRUE),1,126)</f>
      </c>
      <c r="ED46" s="3">
        <f>INDEX(CEA_ROCKET_IAC_SOLVE($A$10:$D$12,C47,$D$16:$D$18,$E$16:$E$16,$F$16:$F$18,B47,,,,,$E$11:$E$12,$B$18,,,,,,$A$22:$A$42,$C$22:$C$29,$B$5,$B$6,TRUE),1,127)</f>
      </c>
      <c r="EE46" s="3">
        <f>INDEX(CEA_ROCKET_IAC_SOLVE($A$10:$D$12,C47,$D$16:$D$18,$E$16:$E$16,$F$16:$F$18,B47,,,,,$E$11:$E$12,$B$18,,,,,,$A$22:$A$42,$C$22:$C$29,$B$5,$B$6,TRUE),1,128)</f>
      </c>
      <c r="EF46" s="3">
        <f>INDEX(CEA_ROCKET_IAC_SOLVE($A$10:$D$12,C47,$D$16:$D$18,$E$16:$E$16,$F$16:$F$18,B47,,,,,$E$11:$E$12,$B$18,,,,,,$A$22:$A$42,$C$22:$C$29,$B$5,$B$6,TRUE),1,129)</f>
      </c>
      <c r="EG46" s="3">
        <f>INDEX(CEA_ROCKET_IAC_SOLVE($A$10:$D$12,C47,$D$16:$D$18,$E$16:$E$16,$F$16:$F$18,B47,,,,,$E$11:$E$12,$B$18,,,,,,$A$22:$A$42,$C$22:$C$29,$B$5,$B$6,TRUE),1,130)</f>
      </c>
      <c r="EH46" s="3">
        <f>INDEX(CEA_ROCKET_IAC_SOLVE($A$10:$D$12,C47,$D$16:$D$18,$E$16:$E$16,$F$16:$F$18,B47,,,,,$E$11:$E$12,$B$18,,,,,,$A$22:$A$42,$C$22:$C$29,$B$5,$B$6,TRUE),1,131)</f>
      </c>
      <c r="EI46" s="3">
        <f>INDEX(CEA_ROCKET_IAC_SOLVE($A$10:$D$12,C47,$D$16:$D$18,$E$16:$E$16,$F$16:$F$18,B47,,,,,$E$11:$E$12,$B$18,,,,,,$A$22:$A$42,$C$22:$C$29,$B$5,$B$6,TRUE),1,132)</f>
      </c>
      <c r="EJ46" s="3">
        <f>INDEX(CEA_ROCKET_IAC_SOLVE($A$10:$D$12,C47,$D$16:$D$18,$E$16:$E$16,$F$16:$F$18,B47,,,,,$E$11:$E$12,$B$18,,,,,,$A$22:$A$42,$C$22:$C$29,$B$5,$B$6,TRUE),1,133)</f>
      </c>
      <c r="EK46" s="3">
        <f>INDEX(CEA_ROCKET_IAC_SOLVE($A$10:$D$12,C47,$D$16:$D$18,$E$16:$E$16,$F$16:$F$18,B47,,,,,$E$11:$E$12,$B$18,,,,,,$A$22:$A$42,$C$22:$C$29,$B$5,$B$6,TRUE),1,134)</f>
      </c>
      <c r="EL46" s="3">
        <f>INDEX(CEA_ROCKET_IAC_SOLVE($A$10:$D$12,C47,$D$16:$D$18,$E$16:$E$16,$F$16:$F$18,B47,,,,,$E$11:$E$12,$B$18,,,,,,$A$22:$A$42,$C$22:$C$29,$B$5,$B$6,TRUE),1,135)</f>
      </c>
      <c r="EM46" s="3">
        <f>INDEX(CEA_ROCKET_IAC_SOLVE($A$10:$D$12,C47,$D$16:$D$18,$E$16:$E$16,$F$16:$F$18,B47,,,,,$E$11:$E$12,$B$18,,,,,,$A$22:$A$42,$C$22:$C$29,$B$5,$B$6,TRUE),1,136)</f>
      </c>
      <c r="EN46" s="3">
        <f>INDEX(CEA_ROCKET_IAC_SOLVE($A$10:$D$12,C47,$D$16:$D$18,$E$16:$E$16,$F$16:$F$18,B47,,,,,$E$11:$E$12,$B$18,,,,,,$A$22:$A$42,$C$22:$C$29,$B$5,$B$6,TRUE),1,137)</f>
      </c>
      <c r="EO46" s="3">
        <f>INDEX(CEA_ROCKET_IAC_SOLVE($A$10:$D$12,C47,$D$16:$D$18,$E$16:$E$16,$F$16:$F$18,B47,,,,,$E$11:$E$12,$B$18,,,,,,$A$22:$A$42,$C$22:$C$29,$B$5,$B$6,TRUE),1,138)</f>
      </c>
      <c r="EP46" s="3">
        <f>INDEX(CEA_ROCKET_IAC_SOLVE($A$10:$D$12,C47,$D$16:$D$18,$E$16:$E$16,$F$16:$F$18,B47,,,,,$E$11:$E$12,$B$18,,,,,,$A$22:$A$42,$C$22:$C$29,$B$5,$B$6,TRUE),1,139)</f>
      </c>
      <c r="EQ46" s="3">
        <f>INDEX(CEA_ROCKET_IAC_SOLVE($A$10:$D$12,C47,$D$16:$D$18,$E$16:$E$16,$F$16:$F$18,B47,,,,,$E$11:$E$12,$B$18,,,,,,$A$22:$A$42,$C$22:$C$29,$B$5,$B$6,TRUE),1,140)</f>
      </c>
      <c r="ER46" s="3">
        <f>INDEX(CEA_ROCKET_IAC_SOLVE($A$10:$D$12,C47,$D$16:$D$18,$E$16:$E$16,$F$16:$F$18,B47,,,,,$E$11:$E$12,$B$18,,,,,,$A$22:$A$42,$C$22:$C$29,$B$5,$B$6,TRUE),1,141)</f>
      </c>
      <c r="ES46" s="3">
        <f>INDEX(CEA_ROCKET_IAC_SOLVE($A$10:$D$12,C47,$D$16:$D$18,$E$16:$E$16,$F$16:$F$18,B47,,,,,$E$11:$E$12,$B$18,,,,,,$A$22:$A$42,$C$22:$C$29,$B$5,$B$6,TRUE),1,142)</f>
      </c>
      <c r="ET46" s="3">
        <f>INDEX(CEA_ROCKET_IAC_SOLVE($A$10:$D$12,C47,$D$16:$D$18,$E$16:$E$16,$F$16:$F$18,B47,,,,,$E$11:$E$12,$B$18,,,,,,$A$22:$A$42,$C$22:$C$29,$B$5,$B$6,TRUE),1,143)</f>
      </c>
      <c r="EU46" s="3">
        <f>INDEX(CEA_ROCKET_IAC_SOLVE($A$10:$D$12,C47,$D$16:$D$18,$E$16:$E$16,$F$16:$F$18,B47,,,,,$E$11:$E$12,$B$18,,,,,,$A$22:$A$42,$C$22:$C$29,$B$5,$B$6,TRUE),1,144)</f>
      </c>
      <c r="EV46" s="3">
        <f>INDEX(CEA_ROCKET_IAC_SOLVE($A$10:$D$12,C47,$D$16:$D$18,$E$16:$E$16,$F$16:$F$18,B47,,,,,$E$11:$E$12,$B$18,,,,,,$A$22:$A$42,$C$22:$C$29,$B$5,$B$6,TRUE),1,145)</f>
      </c>
      <c r="EW46" s="3">
        <f>INDEX(CEA_ROCKET_IAC_SOLVE($A$10:$D$12,C47,$D$16:$D$18,$E$16:$E$16,$F$16:$F$18,B47,,,,,$E$11:$E$12,$B$18,,,,,,$A$22:$A$42,$C$22:$C$29,$B$5,$B$6,TRUE),1,146)</f>
      </c>
      <c r="EX46" s="3">
        <f>INDEX(CEA_ROCKET_IAC_SOLVE($A$10:$D$12,C47,$D$16:$D$18,$E$16:$E$16,$F$16:$F$18,B47,,,,,$E$11:$E$12,$B$18,,,,,,$A$22:$A$42,$C$22:$C$29,$B$5,$B$6,TRUE),1,147)</f>
      </c>
      <c r="EY46" s="3">
        <f>INDEX(CEA_ROCKET_IAC_SOLVE($A$10:$D$12,C47,$D$16:$D$18,$E$16:$E$16,$F$16:$F$18,B47,,,,,$E$11:$E$12,$B$18,,,,,,$A$22:$A$42,$C$22:$C$29,$B$5,$B$6,TRUE),1,148)</f>
      </c>
      <c r="EZ46" s="3">
        <f>INDEX(CEA_ROCKET_IAC_SOLVE($A$10:$D$12,C47,$D$16:$D$18,$E$16:$E$16,$F$16:$F$18,B47,,,,,$E$11:$E$12,$B$18,,,,,,$A$22:$A$42,$C$22:$C$29,$B$5,$B$6,TRUE),1,149)</f>
      </c>
      <c r="FA46" s="3">
        <f>INDEX(CEA_ROCKET_IAC_SOLVE($A$10:$D$12,C47,$D$16:$D$18,$E$16:$E$16,$F$16:$F$18,B47,,,,,$E$11:$E$12,$B$18,,,,,,$A$22:$A$42,$C$22:$C$29,$B$5,$B$6,TRUE),1,150)</f>
      </c>
      <c r="FB46" s="3">
        <f>INDEX(CEA_ROCKET_IAC_SOLVE($A$10:$D$12,C47,$D$16:$D$18,$E$16:$E$16,$F$16:$F$18,B47,,,,,$E$11:$E$12,$B$18,,,,,,$A$22:$A$42,$C$22:$C$29,$B$5,$B$6,TRUE),1,151)</f>
      </c>
      <c r="FC46" s="3">
        <f>INDEX(CEA_ROCKET_IAC_SOLVE($A$10:$D$12,C47,$D$16:$D$18,$E$16:$E$16,$F$16:$F$18,B47,,,,,$E$11:$E$12,$B$18,,,,,,$A$22:$A$42,$C$22:$C$29,$B$5,$B$6,TRUE),1,152)</f>
      </c>
      <c r="FD46" s="3">
        <f>INDEX(CEA_ROCKET_IAC_SOLVE($A$10:$D$12,C47,$D$16:$D$18,$E$16:$E$16,$F$16:$F$18,B47,,,,,$E$11:$E$12,$B$18,,,,,,$A$22:$A$42,$C$22:$C$29,$B$5,$B$6,TRUE),1,153)</f>
      </c>
      <c r="FE46" s="3">
        <f>INDEX(CEA_ROCKET_IAC_SOLVE($A$10:$D$12,C47,$D$16:$D$18,$E$16:$E$16,$F$16:$F$18,B47,,,,,$E$11:$E$12,$B$18,,,,,,$A$22:$A$42,$C$22:$C$29,$B$5,$B$6,TRUE),1,154)</f>
      </c>
      <c r="FF46" s="3">
        <f>INDEX(CEA_ROCKET_IAC_SOLVE($A$10:$D$12,C47,$D$16:$D$18,$E$16:$E$16,$F$16:$F$18,B47,,,,,$E$11:$E$12,$B$18,,,,,,$A$22:$A$42,$C$22:$C$29,$B$5,$B$6,TRUE),1,155)</f>
      </c>
      <c r="FG46" s="3">
        <f>INDEX(CEA_ROCKET_IAC_SOLVE($A$10:$D$12,C47,$D$16:$D$18,$E$16:$E$16,$F$16:$F$18,B47,,,,,$E$11:$E$12,$B$18,,,,,,$A$22:$A$42,$C$22:$C$29,$B$5,$B$6,TRUE),1,156)</f>
      </c>
      <c r="FH46" s="3">
        <f>INDEX(CEA_ROCKET_IAC_SOLVE($A$10:$D$12,C47,$D$16:$D$18,$E$16:$E$16,$F$16:$F$18,B47,,,,,$E$11:$E$12,$B$18,,,,,,$A$22:$A$42,$C$22:$C$29,$B$5,$B$6,TRUE),1,157)</f>
      </c>
      <c r="FI46" s="3">
        <f>INDEX(CEA_ROCKET_IAC_SOLVE($A$10:$D$12,C47,$D$16:$D$18,$E$16:$E$16,$F$16:$F$18,B47,,,,,$E$11:$E$12,$B$18,,,,,,$A$22:$A$42,$C$22:$C$29,$B$5,$B$6,TRUE),1,158)</f>
      </c>
      <c r="FJ46" s="3">
        <f>INDEX(CEA_ROCKET_IAC_SOLVE($A$10:$D$12,C47,$D$16:$D$18,$E$16:$E$16,$F$16:$F$18,B47,,,,,$E$11:$E$12,$B$18,,,,,,$A$22:$A$42,$C$22:$C$29,$B$5,$B$6,TRUE),1,159)</f>
      </c>
      <c r="FK46" s="3">
        <f>INDEX(CEA_ROCKET_IAC_SOLVE($A$10:$D$12,C47,$D$16:$D$18,$E$16:$E$16,$F$16:$F$18,B47,,,,,$E$11:$E$12,$B$18,,,,,,$A$22:$A$42,$C$22:$C$29,$B$5,$B$6,TRUE),1,160)</f>
      </c>
      <c r="FL46" s="3">
        <f>INDEX(CEA_ROCKET_IAC_SOLVE($A$10:$D$12,C47,$D$16:$D$18,$E$16:$E$16,$F$16:$F$18,B47,,,,,$E$11:$E$12,$B$18,,,,,,$A$22:$A$42,$C$22:$C$29,$B$5,$B$6,TRUE),1,161)</f>
      </c>
      <c r="FM46" s="3">
        <f>INDEX(CEA_ROCKET_IAC_SOLVE($A$10:$D$12,C47,$D$16:$D$18,$E$16:$E$16,$F$16:$F$18,B47,,,,,$E$11:$E$12,$B$18,,,,,,$A$22:$A$42,$C$22:$C$29,$B$5,$B$6,TRUE),1,162)</f>
      </c>
      <c r="FN46" s="3">
        <f>INDEX(CEA_ROCKET_IAC_SOLVE($A$10:$D$12,C47,$D$16:$D$18,$E$16:$E$16,$F$16:$F$18,B47,,,,,$E$11:$E$12,$B$18,,,,,,$A$22:$A$42,$C$22:$C$29,$B$5,$B$6,TRUE),1,163)</f>
      </c>
      <c r="FO46" s="3">
        <f>INDEX(CEA_ROCKET_IAC_SOLVE($A$10:$D$12,C47,$D$16:$D$18,$E$16:$E$16,$F$16:$F$18,B47,,,,,$E$11:$E$12,$B$18,,,,,,$A$22:$A$42,$C$22:$C$29,$B$5,$B$6,TRUE),1,164)</f>
      </c>
      <c r="FP46" s="3">
        <f>INDEX(CEA_ROCKET_IAC_SOLVE($A$10:$D$12,C47,$D$16:$D$18,$E$16:$E$16,$F$16:$F$18,B47,,,,,$E$11:$E$12,$B$18,,,,,,$A$22:$A$42,$C$22:$C$29,$B$5,$B$6,TRUE),1,165)</f>
      </c>
      <c r="FQ46" s="3">
        <f>INDEX(CEA_ROCKET_IAC_SOLVE($A$10:$D$12,C47,$D$16:$D$18,$E$16:$E$16,$F$16:$F$18,B47,,,,,$E$11:$E$12,$B$18,,,,,,$A$22:$A$42,$C$22:$C$29,$B$5,$B$6,TRUE),1,166)</f>
      </c>
      <c r="FR46" s="3">
        <f>INDEX(CEA_ROCKET_IAC_SOLVE($A$10:$D$12,C47,$D$16:$D$18,$E$16:$E$16,$F$16:$F$18,B47,,,,,$E$11:$E$12,$B$18,,,,,,$A$22:$A$42,$C$22:$C$29,$B$5,$B$6,TRUE),1,167)</f>
      </c>
      <c r="FS46" s="3">
        <f>INDEX(CEA_ROCKET_IAC_SOLVE($A$10:$D$12,C47,$D$16:$D$18,$E$16:$E$16,$F$16:$F$18,B47,,,,,$E$11:$E$12,$B$18,,,,,,$A$22:$A$42,$C$22:$C$29,$B$5,$B$6,TRUE),1,168)</f>
      </c>
      <c r="FT46" s="3">
        <f>INDEX(CEA_ROCKET_IAC_SOLVE($A$10:$D$12,C47,$D$16:$D$18,$E$16:$E$16,$F$16:$F$18,B47,,,,,$E$11:$E$12,$B$18,,,,,,$A$22:$A$42,$C$22:$C$29,$B$5,$B$6,TRUE),1,169)</f>
      </c>
      <c r="FU46" s="3">
        <f>INDEX(CEA_ROCKET_IAC_SOLVE($A$10:$D$12,C47,$D$16:$D$18,$E$16:$E$16,$F$16:$F$18,B47,,,,,$E$11:$E$12,$B$18,,,,,,$A$22:$A$42,$C$22:$C$29,$B$5,$B$6,TRUE),1,170)</f>
      </c>
      <c r="FV46" s="3">
        <f>INDEX(CEA_ROCKET_IAC_SOLVE($A$10:$D$12,C47,$D$16:$D$18,$E$16:$E$16,$F$16:$F$18,B47,,,,,$E$11:$E$12,$B$18,,,,,,$A$22:$A$42,$C$22:$C$29,$B$5,$B$6,TRUE),1,171)</f>
      </c>
      <c r="FW46" s="3">
        <f>INDEX(CEA_ROCKET_IAC_SOLVE($A$10:$D$12,C47,$D$16:$D$18,$E$16:$E$16,$F$16:$F$18,B47,,,,,$E$11:$E$12,$B$18,,,,,,$A$22:$A$42,$C$22:$C$29,$B$5,$B$6,TRUE),1,172)</f>
      </c>
      <c r="FX46" s="3">
        <f>INDEX(CEA_ROCKET_IAC_SOLVE($A$10:$D$12,C47,$D$16:$D$18,$E$16:$E$16,$F$16:$F$18,B47,,,,,$E$11:$E$12,$B$18,,,,,,$A$22:$A$42,$C$22:$C$29,$B$5,$B$6,TRUE),1,173)</f>
      </c>
      <c r="FY46" s="3">
        <f>INDEX(CEA_ROCKET_IAC_SOLVE($A$10:$D$12,C47,$D$16:$D$18,$E$16:$E$16,$F$16:$F$18,B47,,,,,$E$11:$E$12,$B$18,,,,,,$A$22:$A$42,$C$22:$C$29,$B$5,$B$6,TRUE),1,174)</f>
      </c>
      <c r="FZ46" s="3">
        <f>INDEX(CEA_ROCKET_IAC_SOLVE($A$10:$D$12,C47,$D$16:$D$18,$E$16:$E$16,$F$16:$F$18,B47,,,,,$E$11:$E$12,$B$18,,,,,,$A$22:$A$42,$C$22:$C$29,$B$5,$B$6,TRUE),1,175)</f>
      </c>
      <c r="GA46" s="3">
        <f>INDEX(CEA_ROCKET_IAC_SOLVE($A$10:$D$12,C47,$D$16:$D$18,$E$16:$E$16,$F$16:$F$18,B47,,,,,$E$11:$E$12,$B$18,,,,,,$A$22:$A$42,$C$22:$C$29,$B$5,$B$6,TRUE),1,176)</f>
      </c>
      <c r="GB46" s="3">
        <f>INDEX(CEA_ROCKET_IAC_SOLVE($A$10:$D$12,C47,$D$16:$D$18,$E$16:$E$16,$F$16:$F$18,B47,,,,,$E$11:$E$12,$B$18,,,,,,$A$22:$A$42,$C$22:$C$29,$B$5,$B$6,TRUE),1,177)</f>
      </c>
      <c r="GC46" s="3">
        <f>INDEX(CEA_ROCKET_IAC_SOLVE($A$10:$D$12,C47,$D$16:$D$18,$E$16:$E$16,$F$16:$F$18,B47,,,,,$E$11:$E$12,$B$18,,,,,,$A$22:$A$42,$C$22:$C$29,$B$5,$B$6,TRUE),1,178)</f>
      </c>
      <c r="GD46" s="3">
        <f>INDEX(CEA_ROCKET_IAC_SOLVE($A$10:$D$12,C47,$D$16:$D$18,$E$16:$E$16,$F$16:$F$18,B47,,,,,$E$11:$E$12,$B$18,,,,,,$A$22:$A$42,$C$22:$C$29,$B$5,$B$6,TRUE),1,179)</f>
      </c>
      <c r="GE46" s="3">
        <f>INDEX(CEA_ROCKET_IAC_SOLVE($A$10:$D$12,C47,$D$16:$D$18,$E$16:$E$16,$F$16:$F$18,B47,,,,,$E$11:$E$12,$B$18,,,,,,$A$22:$A$42,$C$22:$C$29,$B$5,$B$6,TRUE),1,180)</f>
      </c>
      <c r="GF46" s="3">
        <f>INDEX(CEA_ROCKET_IAC_SOLVE($A$10:$D$12,C47,$D$16:$D$18,$E$16:$E$16,$F$16:$F$18,B47,,,,,$E$11:$E$12,$B$18,,,,,,$A$22:$A$42,$C$22:$C$29,$B$5,$B$6,TRUE),1,181)</f>
      </c>
      <c r="GG46" s="3">
        <f>INDEX(CEA_ROCKET_IAC_SOLVE($A$10:$D$12,C47,$D$16:$D$18,$E$16:$E$16,$F$16:$F$18,B47,,,,,$E$11:$E$12,$B$18,,,,,,$A$22:$A$42,$C$22:$C$29,$B$5,$B$6,TRUE),1,182)</f>
      </c>
      <c r="GH46" s="3">
        <f>INDEX(CEA_ROCKET_IAC_SOLVE($A$10:$D$12,C47,$D$16:$D$18,$E$16:$E$16,$F$16:$F$18,B47,,,,,$E$11:$E$12,$B$18,,,,,,$A$22:$A$42,$C$22:$C$29,$B$5,$B$6,TRUE),1,183)</f>
      </c>
      <c r="GI46" s="3">
        <f>INDEX(CEA_ROCKET_IAC_SOLVE($A$10:$D$12,C47,$D$16:$D$18,$E$16:$E$16,$F$16:$F$18,B47,,,,,$E$11:$E$12,$B$18,,,,,,$A$22:$A$42,$C$22:$C$29,$B$5,$B$6,TRUE),1,184)</f>
      </c>
      <c r="GJ46" s="3">
        <f>INDEX(CEA_ROCKET_IAC_SOLVE($A$10:$D$12,C47,$D$16:$D$18,$E$16:$E$16,$F$16:$F$18,B47,,,,,$E$11:$E$12,$B$18,,,,,,$A$22:$A$42,$C$22:$C$29,$B$5,$B$6,TRUE),1,185)</f>
      </c>
      <c r="GK46" s="3">
        <f>INDEX(CEA_ROCKET_IAC_SOLVE($A$10:$D$12,C47,$D$16:$D$18,$E$16:$E$16,$F$16:$F$18,B47,,,,,$E$11:$E$12,$B$18,,,,,,$A$22:$A$42,$C$22:$C$29,$B$5,$B$6,TRUE),1,186)</f>
      </c>
      <c r="GL46" s="3">
        <f>INDEX(CEA_ROCKET_IAC_SOLVE($A$10:$D$12,C47,$D$16:$D$18,$E$16:$E$16,$F$16:$F$18,B47,,,,,$E$11:$E$12,$B$18,,,,,,$A$22:$A$42,$C$22:$C$29,$B$5,$B$6,TRUE),1,187)</f>
      </c>
      <c r="GM46" s="3">
        <f>INDEX(CEA_ROCKET_IAC_SOLVE($A$10:$D$12,C47,$D$16:$D$18,$E$16:$E$16,$F$16:$F$18,B47,,,,,$E$11:$E$12,$B$18,,,,,,$A$22:$A$42,$C$22:$C$29,$B$5,$B$6,TRUE),1,188)</f>
      </c>
      <c r="GN46" s="3">
        <f>INDEX(CEA_ROCKET_IAC_SOLVE($A$10:$D$12,C47,$D$16:$D$18,$E$16:$E$16,$F$16:$F$18,B47,,,,,$E$11:$E$12,$B$18,,,,,,$A$22:$A$42,$C$22:$C$29,$B$5,$B$6,TRUE),1,189)</f>
      </c>
      <c r="GO46" s="3">
        <f>INDEX(CEA_ROCKET_IAC_SOLVE($A$10:$D$12,C47,$D$16:$D$18,$E$16:$E$16,$F$16:$F$18,B47,,,,,$E$11:$E$12,$B$18,,,,,,$A$22:$A$42,$C$22:$C$29,$B$5,$B$6,TRUE),1,190)</f>
      </c>
      <c r="GP46" s="3">
        <f>INDEX(CEA_ROCKET_IAC_SOLVE($A$10:$D$12,C47,$D$16:$D$18,$E$16:$E$16,$F$16:$F$18,B47,,,,,$E$11:$E$12,$B$18,,,,,,$A$22:$A$42,$C$22:$C$29,$B$5,$B$6,TRUE),1,191)</f>
      </c>
      <c r="GQ46" s="3">
        <f>INDEX(CEA_ROCKET_IAC_SOLVE($A$10:$D$12,C47,$D$16:$D$18,$E$16:$E$16,$F$16:$F$18,B47,,,,,$E$11:$E$12,$B$18,,,,,,$A$22:$A$42,$C$22:$C$29,$B$5,$B$6,TRUE),1,192)</f>
      </c>
      <c r="GR46" s="3">
        <f>IFERROR(INDEX(CEA_ROCKET_IAC_SOLVE($A$10:$D$12,C47,$D$16:$D$18,$E$16:$E$16,$F$16:$F$18,B47,,,,,$E$11:$E$12,$B$18,,,,,,$A$22:$A$22,$C$22:$C$29,$B$5,$B$6,TRUE),1,13),"")</f>
      </c>
      <c r="GS46" s="3">
        <f>IFERROR(INDEX(CEA_ROCKET_IAC_SOLVE($A$10:$D$12,C47,$D$16:$D$18,$E$16:$E$16,$F$16:$F$18,B47,,,,,$E$11:$E$12,$B$18,,,,,,$A$22:$A$22,$C$22:$C$29,$B$5,$B$6,TRUE),1,14),"")</f>
      </c>
      <c r="GT46" s="3">
        <f>IFERROR(INDEX(CEA_ROCKET_IAC_SOLVE($A$10:$D$12,C47,$D$16:$D$18,$E$16:$E$16,$F$16:$F$18,B47,,,,,$E$11:$E$12,$B$18,,,,,,$A$22:$A$22,$C$22:$C$29,$B$5,$B$6,TRUE),1,15),"")</f>
      </c>
      <c r="GU46" s="3">
        <f>IFERROR(INDEX(CEA_ROCKET_IAC_SOLVE($A$10:$D$12,C47,$D$16:$D$18,$E$16:$E$16,$F$16:$F$18,B47,,,,,$E$11:$E$12,$B$18,,,,,,$A$22:$A$22,$C$22:$C$29,$B$5,$B$6,TRUE),1,16),"")</f>
      </c>
      <c r="GV46" s="3">
        <f>IFERROR(INDEX(CEA_ROCKET_IAC_SOLVE($A$10:$D$12,C47,$D$16:$D$18,$E$16:$E$16,$F$16:$F$18,B47,,,,,$E$11:$E$12,$B$18,,,,,,$A$22:$A$22,$C$22:$C$29,$B$5,$B$6,TRUE),1,17),"")</f>
      </c>
      <c r="GW46" s="3">
        <f>IFERROR(INDEX(CEA_ROCKET_IAC_SOLVE($A$10:$D$12,C47,$D$16:$D$18,$E$16:$E$16,$F$16:$F$18,B47,,,,,$E$11:$E$12,$B$18,,,,,,$A$22:$A$22,$C$22:$C$29,$B$5,$B$6,TRUE),1,18),"")</f>
      </c>
      <c r="GX46" s="3">
        <f>IFERROR(INDEX(CEA_ROCKET_IAC_SOLVE($A$10:$D$12,C47,$D$16:$D$18,$E$16:$E$16,$F$16:$F$18,B47,,,,,$E$11:$E$12,$B$18,,,,,,$A$22:$A$22,$C$22:$C$29,$B$5,$B$6,TRUE),1,19),"")</f>
      </c>
      <c r="GY46" s="3">
        <f>IFERROR(INDEX(CEA_ROCKET_IAC_SOLVE($A$10:$D$12,C47,$D$16:$D$18,$E$16:$E$16,$F$16:$F$18,B47,,,,,$E$11:$E$12,$B$18,,,,,,$A$22:$A$22,$C$22:$C$29,$B$5,$B$6,TRUE),1,20),"")</f>
      </c>
      <c r="GZ46" s="3">
        <f>IFERROR(INDEX(CEA_ROCKET_IAC_SOLVE($A$10:$D$12,C47,$D$16:$D$18,$E$16:$E$16,$F$16:$F$18,B47,,,,,$E$11:$E$12,$B$18,,,,,,$A$22:$A$22,$C$22:$C$29,$B$5,$B$6,TRUE),1,21),"")</f>
      </c>
      <c r="HA46" s="3">
        <f>IFERROR(INDEX(CEA_ROCKET_IAC_SOLVE($A$10:$D$12,C47,$D$16:$D$18,$E$16:$E$16,$F$16:$F$18,B47,,,,,$E$11:$E$12,$B$18,,,,,,$A$22:$A$22,$C$22:$C$29,$B$5,$B$6,TRUE),1,22),"")</f>
      </c>
      <c r="HB46" s="3">
        <f>IFERROR(INDEX(CEA_ROCKET_IAC_SOLVE($A$10:$D$12,C47,$D$16:$D$18,$E$16:$E$16,$F$16:$F$18,B47,,,,,$E$11:$E$12,$B$18,,,,,,$A$22:$A$22,$C$22:$C$29,$B$5,$B$6,TRUE),1,23),"")</f>
      </c>
      <c r="HC46" s="3">
        <f>IFERROR(INDEX(CEA_ROCKET_IAC_SOLVE($A$10:$D$12,C47,$D$16:$D$18,$E$16:$E$16,$F$16:$F$18,B47,,,,,$E$11:$E$12,$B$18,,,,,,$A$22:$A$22,$C$22:$C$29,$B$5,$B$6,TRUE),1,24),"")</f>
      </c>
      <c r="HD46" s="3">
        <f>IFERROR(INDEX(CEA_ROCKET_IAC_SOLVE($A$10:$D$12,C47,$D$16:$D$18,$E$16:$E$16,$F$16:$F$18,B47,,,,,$E$11:$E$12,$B$18,,,,,,$A$22:$A$22,$C$22:$C$29,$B$5,$B$6,TRUE),1,25),"")</f>
      </c>
      <c r="HE46" s="3">
        <f>IFERROR(INDEX(CEA_ROCKET_IAC_SOLVE($A$10:$D$12,C47,$D$16:$D$18,$E$16:$E$16,$F$16:$F$18,B47,,,,,$E$11:$E$12,$B$18,,,,,,$A$22:$A$22,$C$22:$C$29,$B$5,$B$6,TRUE),1,26),"")</f>
      </c>
      <c r="HF46" s="3">
        <f>IFERROR(INDEX(CEA_ROCKET_IAC_SOLVE($A$10:$D$12,C47,$D$16:$D$18,$E$16:$E$16,$F$16:$F$18,B47,,,,,$E$11:$E$12,$B$18,,,,,,$A$22:$A$22,$C$22:$C$29,$B$5,$B$6,TRUE),1,27),"")</f>
      </c>
      <c r="HG46" s="3">
        <f>IFERROR(INDEX(CEA_ROCKET_IAC_SOLVE($A$10:$D$12,C47,$D$16:$D$18,$E$16:$E$16,$F$16:$F$18,B47,,,,,$E$11:$E$12,$B$18,,,,,,$A$22:$A$22,$C$22:$C$29,$B$5,$B$6,TRUE),1,28),"")</f>
      </c>
      <c r="HH46" s="3">
        <f>IFERROR(INDEX(CEA_ROCKET_IAC_SOLVE($A$10:$D$12,C47,$D$16:$D$18,$E$16:$E$16,$F$16:$F$18,B47,,,,,$E$11:$E$12,$B$18,,,,,,$A$22:$A$22,$C$22:$C$29,$B$5,$B$6,TRUE),1,29),"")</f>
      </c>
      <c r="HI46" s="3">
        <f>IFERROR(INDEX(CEA_ROCKET_IAC_SOLVE($A$10:$D$12,C47,$D$16:$D$18,$E$16:$E$16,$F$16:$F$18,B47,,,,,$E$11:$E$12,$B$18,,,,,,$A$22:$A$22,$C$22:$C$29,$B$5,$B$6,TRUE),1,30),"")</f>
      </c>
      <c r="HJ46" s="3">
        <f>IFERROR(INDEX(CEA_ROCKET_IAC_SOLVE($A$10:$D$12,C47,$D$16:$D$18,$E$16:$E$16,$F$16:$F$18,B47,,,,,$E$11:$E$12,$B$18,,,,,,$A$22:$A$22,$C$22:$C$29,$B$5,$B$6,TRUE),1,31),"")</f>
      </c>
      <c r="HK46" s="3">
        <f>IFERROR(INDEX(CEA_ROCKET_IAC_SOLVE($A$10:$D$12,C47,$D$16:$D$18,$E$16:$E$16,$F$16:$F$18,B47,,,,,$E$11:$E$12,$B$18,,,,,,$A$22:$A$22,$C$22:$C$29,$B$5,$B$6,TRUE),1,32),"")</f>
      </c>
      <c r="HL46" s="3">
        <f>IFERROR(INDEX(CEA_ROCKET_IAC_SOLVE($A$10:$D$12,C47,$D$16:$D$18,$E$16:$E$16,$F$16:$F$18,B47,,,,,$E$11:$E$12,$B$18,,,,,,$A$22:$A$22,$C$22:$C$29,$B$5,$B$6,TRUE),1,33),"")</f>
      </c>
      <c r="HM46" s="3">
        <f>IFERROR(INDEX(CEA_ROCKET_IAC_SOLVE($A$10:$D$12,C47,$D$16:$D$18,$E$16:$E$16,$F$16:$F$18,B47,,,,,$E$11:$E$12,$B$18,,,,,,$A$22:$A$22,$C$22:$C$29,$B$5,$B$6,TRUE),1,34),"")</f>
      </c>
      <c r="HN46" s="3">
        <f>IFERROR(INDEX(CEA_ROCKET_IAC_SOLVE($A$10:$D$12,C47,$D$16:$D$18,$E$16:$E$16,$F$16:$F$18,B47,,,,,$E$11:$E$12,$B$18,,,,,,$A$22:$A$22,$C$22:$C$29,$B$5,$B$6,TRUE),1,35),"")</f>
      </c>
      <c r="HO46" s="3">
        <f>IFERROR(INDEX(CEA_ROCKET_IAC_SOLVE($A$10:$D$12,C47,$D$16:$D$18,$E$16:$E$16,$F$16:$F$18,B47,,,,,$E$11:$E$12,$B$18,,,,,,$A$22:$A$22,$C$22:$C$29,$B$5,$B$6,TRUE),1,36),"")</f>
      </c>
      <c r="HP46" s="3">
        <f>IFERROR(INDEX(CEA_ROCKET_IAC_SOLVE($A$10:$D$12,C47,$D$16:$D$18,$E$16:$E$16,$F$16:$F$18,B47,,,,,$E$11:$E$12,$B$18,,,,,,$A$22:$A$22,$C$22:$C$29,$B$5,$B$6,TRUE),1,37),"")</f>
      </c>
      <c r="HQ46" s="3">
        <f>IFERROR(INDEX(CEA_ROCKET_IAC_SOLVE($A$10:$D$12,C47,$D$16:$D$18,$E$16:$E$16,$F$16:$F$18,B47,,,,,$E$11:$E$12,$B$18,,,,,,$A$22:$A$22,$C$22:$C$29,$B$5,$B$6,TRUE),1,38),"")</f>
      </c>
      <c r="HR46" s="3">
        <f>IFERROR(INDEX(CEA_ROCKET_IAC_SOLVE($A$10:$D$12,C47,$D$16:$D$18,$E$16:$E$16,$F$16:$F$18,B47,,,,,$E$11:$E$12,$B$18,,,,,,$A$22:$A$22,$C$22:$C$29,$B$5,$B$6,TRUE),1,39),"")</f>
      </c>
      <c r="HS46" s="3">
        <f>IFERROR(INDEX(CEA_ROCKET_IAC_SOLVE($A$10:$D$12,C47,$D$16:$D$18,$E$16:$E$16,$F$16:$F$18,B47,,,,,$E$11:$E$12,$B$18,,,,,,$A$22:$A$22,$C$22:$C$29,$B$5,$B$6,TRUE),1,40),"")</f>
      </c>
      <c r="HT46" s="3">
        <f>IFERROR(INDEX(CEA_ROCKET_IAC_SOLVE($A$10:$D$12,C47,$D$16:$D$18,$E$16:$E$16,$F$16:$F$18,B47,,,,,$E$11:$E$12,$B$18,,,,,,$A$22:$A$22,$C$22:$C$29,$B$5,$B$6,TRUE),1,41),"")</f>
      </c>
      <c r="HU46" s="3">
        <f>IFERROR(INDEX(CEA_ROCKET_IAC_SOLVE($A$10:$D$12,C47,$D$16:$D$18,$E$16:$E$16,$F$16:$F$18,B47,,,,,$E$11:$E$12,$B$18,,,,,,$A$22:$A$22,$C$22:$C$29,$B$5,$B$6,TRUE),1,42),"")</f>
      </c>
      <c r="HV46" s="3">
        <f>IFERROR(INDEX(CEA_ROCKET_IAC_SOLVE($A$10:$D$12,C47,$D$16:$D$18,$E$16:$E$16,$F$16:$F$18,B47,,,,,$E$11:$E$12,$B$18,,,,,,$A$22:$A$22,$C$22:$C$29,$B$5,$B$6,TRUE),1,43),"")</f>
      </c>
      <c r="HW46" s="3">
        <f>IFERROR(INDEX(CEA_ROCKET_IAC_SOLVE($A$10:$D$12,C47,$D$16:$D$18,$E$16:$E$16,$F$16:$F$18,B47,,,,,$E$11:$E$12,$B$18,,,,,,$A$22:$A$22,$C$22:$C$29,$B$5,$B$6,TRUE),1,44),"")</f>
      </c>
      <c r="HX46" s="3">
        <f>IFERROR(INDEX(CEA_ROCKET_IAC_SOLVE($A$10:$D$12,C47,$D$16:$D$18,$E$16:$E$16,$F$16:$F$18,B47,,,,,$E$11:$E$12,$B$18,,,,,,$A$22:$A$22,$C$22:$C$29,$B$5,$B$6,TRUE),1,45),"")</f>
      </c>
      <c r="HY46" s="3">
        <f>IFERROR(INDEX(CEA_ROCKET_IAC_SOLVE($A$10:$D$12,C47,$D$16:$D$18,$E$16:$E$16,$F$16:$F$18,B47,,,,,$E$11:$E$12,$B$18,,,,,,$A$22:$A$22,$C$22:$C$29,$B$5,$B$6,TRUE),1,46),"")</f>
      </c>
      <c r="HZ46" s="3">
        <f>IFERROR(INDEX(CEA_ROCKET_IAC_SOLVE($A$10:$D$12,C47,$D$16:$D$18,$E$16:$E$16,$F$16:$F$18,B47,,,,,$E$11:$E$12,$B$18,,,,,,$A$22:$A$22,$C$22:$C$29,$B$5,$B$6,TRUE),1,47),"")</f>
      </c>
      <c r="IA46" s="3">
        <f>IFERROR(INDEX(CEA_ROCKET_IAC_SOLVE($A$10:$D$12,C47,$D$16:$D$18,$E$16:$E$16,$F$16:$F$18,B47,,,,,$E$11:$E$12,$B$18,,,,,,$A$22:$A$22,$C$22:$C$29,$B$5,$B$6,TRUE),1,48),"")</f>
      </c>
      <c r="IB46" s="3">
        <f>IFERROR(INDEX(CEA_ROCKET_IAC_SOLVE($A$10:$D$12,C47,$D$16:$D$18,$E$16:$E$16,$F$16:$F$18,B47,,,,,$E$11:$E$12,$B$18,,,,,,$A$22:$A$22,$C$22:$C$29,$B$5,$B$6,TRUE),1,49),"")</f>
      </c>
      <c r="IC46" s="3">
        <f>IFERROR(INDEX(CEA_ROCKET_IAC_SOLVE($A$10:$D$12,C47,$D$16:$D$18,$E$16:$E$16,$F$16:$F$18,B47,,,,,$E$11:$E$12,$B$18,,,,,,$A$22:$A$22,$C$22:$C$29,$B$5,$B$6,TRUE),1,50),"")</f>
      </c>
      <c r="ID46" s="3">
        <f>IFERROR(INDEX(CEA_ROCKET_IAC_SOLVE($A$10:$D$12,C47,$D$16:$D$18,$E$16:$E$16,$F$16:$F$18,B47,,,,,$E$11:$E$12,$B$18,,,,,,$A$22:$A$22,$C$22:$C$29,$B$5,$B$6,TRUE),1,51),"")</f>
      </c>
      <c r="IE46" s="3">
        <f>IFERROR(INDEX(CEA_ROCKET_IAC_SOLVE($A$10:$D$12,C47,$D$16:$D$18,$E$16:$E$16,$F$16:$F$18,B47,,,,,$E$11:$E$12,$B$18,,,,,,$A$22:$A$22,$C$22:$C$29,$B$5,$B$6,TRUE),1,52),"")</f>
      </c>
      <c r="IF46" s="3">
        <f>IFERROR(INDEX(CEA_ROCKET_IAC_SOLVE($A$10:$D$12,C47,$D$16:$D$18,$E$16:$E$16,$F$16:$F$18,B47,,,,,$E$11:$E$12,$B$18,,,,,,$A$22:$A$22,$C$22:$C$29,$B$5,$B$6,TRUE),1,53),"")</f>
      </c>
      <c r="IG46" s="3">
        <f>IFERROR(INDEX(CEA_ROCKET_IAC_SOLVE($A$10:$D$12,C47,$D$16:$D$18,$E$16:$E$16,$F$16:$F$18,B47,,,,,$E$11:$E$12,$B$18,,,,,,$A$22:$A$22,$C$22:$C$29,$B$5,$B$6,TRUE),1,54),"")</f>
      </c>
      <c r="IH46" s="3">
        <f>IFERROR(INDEX(CEA_ROCKET_IAC_SOLVE($A$10:$D$12,C47,$D$16:$D$18,$E$16:$E$16,$F$16:$F$18,B47,,,,,$E$11:$E$12,$B$18,,,,,,$A$22:$A$22,$C$22:$C$29,$B$5,$B$6,TRUE),1,55),"")</f>
      </c>
      <c r="II46" s="3">
        <f>IFERROR(INDEX(CEA_ROCKET_IAC_SOLVE($A$10:$D$12,C47,$D$16:$D$18,$E$16:$E$16,$F$16:$F$18,B47,,,,,$E$11:$E$12,$B$18,,,,,,$A$22:$A$22,$C$22:$C$29,$B$5,$B$6,TRUE),1,56),"")</f>
      </c>
      <c r="IJ46" s="3">
        <f>IFERROR(INDEX(CEA_ROCKET_IAC_SOLVE($A$10:$D$12,C47,$D$16:$D$18,$E$16:$E$16,$F$16:$F$18,B47,,,,,$E$11:$E$12,$B$18,,,,,,$A$22:$A$22,$C$22:$C$29,$B$5,$B$6,TRUE),1,57),"")</f>
      </c>
      <c r="IK46" s="3">
        <f>IFERROR(INDEX(CEA_ROCKET_IAC_SOLVE($A$10:$D$12,C47,$D$16:$D$18,$E$16:$E$16,$F$16:$F$18,B47,,,,,$E$11:$E$12,$B$18,,,,,,$A$22:$A$22,$C$22:$C$29,$B$5,$B$6,TRUE),1,58),"")</f>
      </c>
      <c r="IL46" s="3">
        <f>IFERROR(INDEX(CEA_ROCKET_IAC_SOLVE($A$10:$D$12,C47,$D$16:$D$18,$E$16:$E$16,$F$16:$F$18,B47,,,,,$E$11:$E$12,$B$18,,,,,,$A$22:$A$22,$C$22:$C$29,$B$5,$B$6,TRUE),1,59),"")</f>
      </c>
      <c r="IM46" s="3">
        <f>IFERROR(INDEX(CEA_ROCKET_IAC_SOLVE($A$10:$D$12,C47,$D$16:$D$18,$E$16:$E$16,$F$16:$F$18,B47,,,,,$E$11:$E$12,$B$18,,,,,,$A$22:$A$22,$C$22:$C$29,$B$5,$B$6,TRUE),1,60),"")</f>
      </c>
      <c r="IN46" s="3">
        <f>IFERROR(INDEX(CEA_ROCKET_IAC_SOLVE($A$10:$D$12,C47,$D$16:$D$18,$E$16:$E$16,$F$16:$F$18,B47,,,,,$E$11:$E$12,$B$18,,,,,,$A$22:$A$22,$C$22:$C$29,$B$5,$B$6,TRUE),1,61),"")</f>
      </c>
      <c r="IO46" s="3">
        <f>IFERROR(INDEX(CEA_ROCKET_IAC_SOLVE($A$10:$D$12,C47,$D$16:$D$18,$E$16:$E$16,$F$16:$F$18,B47,,,,,$E$11:$E$12,$B$18,,,,,,$A$22:$A$22,$C$22:$C$29,$B$5,$B$6,TRUE),1,62),"")</f>
      </c>
      <c r="IP46" s="3">
        <f>IFERROR(INDEX(CEA_ROCKET_IAC_SOLVE($A$10:$D$12,C47,$D$16:$D$18,$E$16:$E$16,$F$16:$F$18,B47,,,,,$E$11:$E$12,$B$18,,,,,,$A$22:$A$22,$C$22:$C$29,$B$5,$B$6,TRUE),1,63),"")</f>
      </c>
      <c r="IQ46" s="3">
        <f>IFERROR(INDEX(CEA_ROCKET_IAC_SOLVE($A$10:$D$12,C47,$D$16:$D$18,$E$16:$E$16,$F$16:$F$18,B47,,,,,$E$11:$E$12,$B$18,,,,,,$A$22:$A$22,$C$22:$C$29,$B$5,$B$6,TRUE),1,64),"")</f>
      </c>
      <c r="IR46" s="3">
        <f>IFERROR(INDEX(CEA_ROCKET_IAC_SOLVE($A$10:$D$12,C47,$D$16:$D$18,$E$16:$E$16,$F$16:$F$18,B47,,,,,$E$11:$E$12,$B$18,,,,,,$A$22:$A$22,$C$22:$C$29,$B$5,$B$6,TRUE),1,65),"")</f>
      </c>
      <c r="IS46" s="3">
        <f>IFERROR(INDEX(CEA_ROCKET_IAC_SOLVE($A$10:$D$12,C47,$D$16:$D$18,$E$16:$E$16,$F$16:$F$18,B47,,,,,$E$11:$E$12,$B$18,,,,,,$A$22:$A$22,$C$22:$C$29,$B$5,$B$6,TRUE),1,66),"")</f>
      </c>
      <c r="IT46" s="3">
        <f>IFERROR(INDEX(CEA_ROCKET_IAC_SOLVE($A$10:$D$12,C47,$D$16:$D$18,$E$16:$E$16,$F$16:$F$18,B47,,,,,$E$11:$E$12,$B$18,,,,,,$A$22:$A$22,$C$22:$C$29,$B$5,$B$6,TRUE),1,67),"")</f>
      </c>
      <c r="IU46" s="3">
        <f>IFERROR(INDEX(CEA_ROCKET_IAC_SOLVE($A$10:$D$12,C47,$D$16:$D$18,$E$16:$E$16,$F$16:$F$18,B47,,,,,$E$11:$E$12,$B$18,,,,,,$A$22:$A$22,$C$22:$C$29,$B$5,$B$6,TRUE),1,68),"")</f>
      </c>
      <c r="IV46" s="3">
        <f>IFERROR(INDEX(CEA_ROCKET_IAC_SOLVE($A$10:$D$12,C47,$D$16:$D$18,$E$16:$E$16,$F$16:$F$18,B47,,,,,$E$11:$E$12,$B$18,,,,,,$A$22:$A$22,$C$22:$C$29,$B$5,$B$6,TRUE),1,69),"")</f>
      </c>
      <c r="IW46" s="3">
        <f>IFERROR(INDEX(CEA_ROCKET_IAC_SOLVE($A$10:$D$12,C47,$D$16:$D$18,$E$16:$E$16,$F$16:$F$18,B47,,,,,$E$11:$E$12,$B$18,,,,,,$A$22:$A$22,$C$22:$C$29,$B$5,$B$6,TRUE),1,70),"")</f>
      </c>
      <c r="IX46" s="3">
        <f>IFERROR(INDEX(CEA_ROCKET_IAC_SOLVE($A$10:$D$12,C47,$D$16:$D$18,$E$16:$E$16,$F$16:$F$18,B47,,,,,$E$11:$E$12,$B$18,,,,,,$A$22:$A$22,$C$22:$C$29,$B$5,$B$6,TRUE),1,71),"")</f>
      </c>
      <c r="IY46" s="3">
        <f>IFERROR(INDEX(CEA_ROCKET_IAC_SOLVE($A$10:$D$12,C47,$D$16:$D$18,$E$16:$E$16,$F$16:$F$18,B47,,,,,$E$11:$E$12,$B$18,,,,,,$A$22:$A$22,$C$22:$C$29,$B$5,$B$6,TRUE),1,72),"")</f>
      </c>
      <c r="IZ46" s="3">
        <f>IFERROR(INDEX(CEA_ROCKET_IAC_SOLVE($A$10:$D$12,C47,$D$16:$D$18,$E$16:$E$16,$F$16:$F$18,B47,,,,,$E$11:$E$12,$B$18,,,,,,$A$22:$A$22,$C$22:$C$29,$B$5,$B$6,TRUE),1,73),"")</f>
      </c>
      <c r="JA46" s="3">
        <f>IFERROR(INDEX(CEA_ROCKET_IAC_SOLVE($A$10:$D$12,C47,$D$16:$D$18,$E$16:$E$16,$F$16:$F$18,B47,,,,,$E$11:$E$12,$B$18,,,,,,$A$22:$A$22,$C$22:$C$29,$B$5,$B$6,TRUE),1,74),"")</f>
      </c>
      <c r="JB46" s="3">
        <f>IFERROR(INDEX(CEA_ROCKET_IAC_SOLVE($A$10:$D$12,C47,$D$16:$D$18,$E$16:$E$16,$F$16:$F$18,B47,,,,,$E$11:$E$12,$B$18,,,,,,$A$22:$A$22,$C$22:$C$29,$B$5,$B$6,TRUE),1,75),"")</f>
      </c>
      <c r="JC46" s="3">
        <f>IFERROR(INDEX(CEA_ROCKET_IAC_SOLVE($A$10:$D$12,C47,$D$16:$D$18,$E$16:$E$16,$F$16:$F$18,B47,,,,,$E$11:$E$12,$B$18,,,,,,$A$22:$A$22,$C$22:$C$29,$B$5,$B$6,TRUE),1,76),"")</f>
      </c>
      <c r="JD46" s="3">
        <f>IFERROR(INDEX(CEA_ROCKET_IAC_SOLVE($A$10:$D$12,C47,$D$16:$D$18,$E$16:$E$16,$F$16:$F$18,B47,,,,,$E$11:$E$12,$B$18,,,,,,$A$22:$A$22,$C$22:$C$29,$B$5,$B$6,TRUE),1,77),"")</f>
      </c>
      <c r="JE46" s="3">
        <f>IFERROR(INDEX(CEA_ROCKET_IAC_SOLVE($A$10:$D$12,C47,$D$16:$D$18,$E$16:$E$16,$F$16:$F$18,B47,,,,,$E$11:$E$12,$B$18,,,,,,$A$22:$A$22,$C$22:$C$29,$B$5,$B$6,TRUE),1,78),"")</f>
      </c>
      <c r="JF46" s="3">
        <f>IFERROR(INDEX(CEA_ROCKET_IAC_SOLVE($A$10:$D$12,C47,$D$16:$D$18,$E$16:$E$16,$F$16:$F$18,B47,,,,,$E$11:$E$12,$B$18,,,,,,$A$22:$A$22,$C$22:$C$29,$B$5,$B$6,TRUE),1,79),"")</f>
      </c>
      <c r="JG46" s="3">
        <f>IFERROR(INDEX(CEA_ROCKET_IAC_SOLVE($A$10:$D$12,C47,$D$16:$D$18,$E$16:$E$16,$F$16:$F$18,B47,,,,,$E$11:$E$12,$B$18,,,,,,$A$22:$A$22,$C$22:$C$29,$B$5,$B$6,TRUE),1,80),"")</f>
      </c>
      <c r="JH46" s="3">
        <f>IFERROR(INDEX(CEA_ROCKET_IAC_SOLVE($A$10:$D$12,C47,$D$16:$D$18,$E$16:$E$16,$F$16:$F$18,B47,,,,,$E$11:$E$12,$B$18,,,,,,$A$22:$A$22,$C$22:$C$29,$B$5,$B$6,TRUE),1,81),"")</f>
      </c>
      <c r="JI46" s="3">
        <f>IFERROR(INDEX(CEA_ROCKET_IAC_SOLVE($A$10:$D$12,C47,$D$16:$D$18,$E$16:$E$16,$F$16:$F$18,B47,,,,,$E$11:$E$12,$B$18,,,,,,$A$22:$A$22,$C$22:$C$29,$B$5,$B$6,TRUE),1,82),"")</f>
      </c>
      <c r="JJ46" s="3">
        <f>IFERROR(INDEX(CEA_ROCKET_IAC_SOLVE($A$10:$D$12,C47,$D$16:$D$18,$E$16:$E$16,$F$16:$F$18,B47,,,,,$E$11:$E$12,$B$18,,,,,,$A$22:$A$22,$C$22:$C$29,$B$5,$B$6,TRUE),1,83),"")</f>
      </c>
      <c r="JK46" s="3">
        <f>IFERROR(INDEX(CEA_ROCKET_IAC_SOLVE($A$10:$D$12,C47,$D$16:$D$18,$E$16:$E$16,$F$16:$F$18,B47,,,,,$E$11:$E$12,$B$18,,,,,,$A$22:$A$22,$C$22:$C$29,$B$5,$B$6,TRUE),1,84),"")</f>
      </c>
      <c r="JL46" s="3">
        <f>IFERROR(INDEX(CEA_ROCKET_IAC_SOLVE($A$10:$D$12,C47,$D$16:$D$18,$E$16:$E$16,$F$16:$F$18,B47,,,,,$E$11:$E$12,$B$18,,,,,,$A$22:$A$22,$C$22:$C$29,$B$5,$B$6,TRUE),1,85),"")</f>
      </c>
      <c r="JM46" s="3">
        <f>IFERROR(INDEX(CEA_ROCKET_IAC_SOLVE($A$10:$D$12,C47,$D$16:$D$18,$E$16:$E$16,$F$16:$F$18,B47,,,,,$E$11:$E$12,$B$18,,,,,,$A$22:$A$22,$C$22:$C$29,$B$5,$B$6,TRUE),1,86),"")</f>
      </c>
      <c r="JN46" s="3">
        <f>IFERROR(INDEX(CEA_ROCKET_IAC_SOLVE($A$10:$D$12,C47,$D$16:$D$18,$E$16:$E$16,$F$16:$F$18,B47,,,,,$E$11:$E$12,$B$18,,,,,,$A$22:$A$22,$C$22:$C$29,$B$5,$B$6,TRUE),1,87),"")</f>
      </c>
      <c r="JO46" s="3">
        <f>IFERROR(INDEX(CEA_ROCKET_IAC_SOLVE($A$10:$D$12,C47,$D$16:$D$18,$E$16:$E$16,$F$16:$F$18,B47,,,,,$E$11:$E$12,$B$18,,,,,,$A$22:$A$22,$C$22:$C$29,$B$5,$B$6,TRUE),1,88),"")</f>
      </c>
      <c r="JP46" s="3">
        <f>IFERROR(INDEX(CEA_ROCKET_IAC_SOLVE($A$10:$D$12,C47,$D$16:$D$18,$E$16:$E$16,$F$16:$F$18,B47,,,,,$E$11:$E$12,$B$18,,,,,,$A$22:$A$22,$C$22:$C$29,$B$5,$B$6,TRUE),1,89),"")</f>
      </c>
      <c r="JQ46" s="3">
        <f>IFERROR(INDEX(CEA_ROCKET_IAC_SOLVE($A$10:$D$12,C47,$D$16:$D$18,$E$16:$E$16,$F$16:$F$18,B47,,,,,$E$11:$E$12,$B$18,,,,,,$A$22:$A$22,$C$22:$C$29,$B$5,$B$6,TRUE),1,90),"")</f>
      </c>
      <c r="JR46" s="3">
        <f>IFERROR(INDEX(CEA_ROCKET_IAC_SOLVE($A$10:$D$12,C47,$D$16:$D$18,$E$16:$E$16,$F$16:$F$18,B47,,,,,$E$11:$E$12,$B$18,,,,,,$A$22:$A$22,$C$22:$C$29,$B$5,$B$6,TRUE),1,91),"")</f>
      </c>
      <c r="JS46" s="3">
        <f>IFERROR(INDEX(CEA_ROCKET_IAC_SOLVE($A$10:$D$12,C47,$D$16:$D$18,$E$16:$E$16,$F$16:$F$18,B47,,,,,$E$11:$E$12,$B$18,,,,,,$A$22:$A$22,$C$22:$C$29,$B$5,$B$6,TRUE),1,92),"")</f>
      </c>
      <c r="JT46" s="3">
        <f>IFERROR(INDEX(CEA_ROCKET_IAC_SOLVE($A$10:$D$12,C47,$D$16:$D$18,$E$16:$E$16,$F$16:$F$18,B47,,,,,$E$11:$E$12,$B$18,,,,,,$A$22:$A$22,$C$22:$C$29,$B$5,$B$6,TRUE),1,93),"")</f>
      </c>
      <c r="JU46" s="3">
        <f>IFERROR(INDEX(CEA_ROCKET_IAC_SOLVE($A$10:$D$12,C47,$D$16:$D$18,$E$16:$E$16,$F$16:$F$18,B47,,,,,$E$11:$E$12,$B$18,,,,,,$A$22:$A$22,$C$22:$C$29,$B$5,$B$6,TRUE),1,94),"")</f>
      </c>
      <c r="JV46" s="3">
        <f>IFERROR(INDEX(CEA_ROCKET_IAC_SOLVE($A$10:$D$12,C47,$D$16:$D$18,$E$16:$E$16,$F$16:$F$18,B47,,,,,$E$11:$E$12,$B$18,,,,,,$A$22:$A$22,$C$22:$C$29,$B$5,$B$6,TRUE),1,95),"")</f>
      </c>
      <c r="JW46" s="3">
        <f>IFERROR(INDEX(CEA_ROCKET_IAC_SOLVE($A$10:$D$12,C47,$D$16:$D$18,$E$16:$E$16,$F$16:$F$18,B47,,,,,$E$11:$E$12,$B$18,,,,,,$A$22:$A$22,$C$22:$C$29,$B$5,$B$6,TRUE),1,96),"")</f>
      </c>
      <c r="JX46" s="3">
        <f>IFERROR(INDEX(CEA_ROCKET_IAC_SOLVE($A$10:$D$12,C47,$D$16:$D$18,$E$16:$E$16,$F$16:$F$18,B47,,,,,$E$11:$E$12,$B$18,,,,,,$A$22:$A$22,$C$22:$C$29,$B$5,$B$6,TRUE),1,97),"")</f>
      </c>
      <c r="JY46" s="3">
        <f>IFERROR(INDEX(CEA_ROCKET_IAC_SOLVE($A$10:$D$12,C47,$D$16:$D$18,$E$16:$E$16,$F$16:$F$18,B47,,,,,$E$11:$E$12,$B$18,,,,,,$A$22:$A$22,$C$22:$C$29,$B$5,$B$6,TRUE),1,98),"")</f>
      </c>
      <c r="JZ46" s="3">
        <f>IFERROR(INDEX(CEA_ROCKET_IAC_SOLVE($A$10:$D$12,C47,$D$16:$D$18,$E$16:$E$16,$F$16:$F$18,B47,,,,,$E$11:$E$12,$B$18,,,,,,$A$22:$A$22,$C$22:$C$29,$B$5,$B$6,TRUE),1,99),"")</f>
      </c>
      <c r="KA46" s="3">
        <f>IFERROR(INDEX(CEA_ROCKET_IAC_SOLVE($A$10:$D$12,C47,$D$16:$D$18,$E$16:$E$16,$F$16:$F$18,B47,,,,,$E$11:$E$12,$B$18,,,,,,$A$22:$A$22,$C$22:$C$29,$B$5,$B$6,TRUE),1,100),"")</f>
      </c>
      <c r="KB46" s="3">
        <f>IFERROR(INDEX(CEA_ROCKET_IAC_SOLVE($A$10:$D$12,C47,$D$16:$D$18,$E$16:$E$16,$F$16:$F$18,B47,,,,,$E$11:$E$12,$B$18,,,,,,$A$22:$A$22,$C$22:$C$29,$B$5,$B$6,TRUE),1,101),"")</f>
      </c>
      <c r="KC46" s="3">
        <f>IFERROR(INDEX(CEA_ROCKET_IAC_SOLVE($A$10:$D$12,C47,$D$16:$D$18,$E$16:$E$16,$F$16:$F$18,B47,,,,,$E$11:$E$12,$B$18,,,,,,$A$22:$A$22,$C$22:$C$29,$B$5,$B$6,TRUE),1,102),"")</f>
      </c>
      <c r="KD46" s="3">
        <f>IFERROR(INDEX(CEA_ROCKET_IAC_SOLVE($A$10:$D$12,C47,$D$16:$D$18,$E$16:$E$16,$F$16:$F$18,B47,,,,,$E$11:$E$12,$B$18,,,,,,$A$22:$A$22,$C$22:$C$29,$B$5,$B$6,TRUE),1,103),"")</f>
      </c>
      <c r="KE46" s="3">
        <f>IFERROR(INDEX(CEA_ROCKET_IAC_SOLVE($A$10:$D$12,C47,$D$16:$D$18,$E$16:$E$16,$F$16:$F$18,B47,,,,,$E$11:$E$12,$B$18,,,,,,$A$22:$A$22,$C$22:$C$29,$B$5,$B$6,TRUE),1,104),"")</f>
      </c>
      <c r="KF46" s="3">
        <f>IFERROR(INDEX(CEA_ROCKET_IAC_SOLVE($A$10:$D$12,C47,$D$16:$D$18,$E$16:$E$16,$F$16:$F$18,B47,,,,,$E$11:$E$12,$B$18,,,,,,$A$22:$A$22,$C$22:$C$29,$B$5,$B$6,TRUE),1,105),"")</f>
      </c>
      <c r="KG46" s="3">
        <f>IFERROR(INDEX(CEA_ROCKET_IAC_SOLVE($A$10:$D$12,C47,$D$16:$D$18,$E$16:$E$16,$F$16:$F$18,B47,,,,,$E$11:$E$12,$B$18,,,,,,$A$22:$A$22,$C$22:$C$29,$B$5,$B$6,TRUE),1,106),"")</f>
      </c>
      <c r="KH46" s="3">
        <f>IFERROR(INDEX(CEA_ROCKET_IAC_SOLVE($A$10:$D$12,C47,$D$16:$D$18,$E$16:$E$16,$F$16:$F$18,B47,,,,,$E$11:$E$12,$B$18,,,,,,$A$22:$A$22,$C$22:$C$29,$B$5,$B$6,TRUE),1,107),"")</f>
      </c>
      <c r="KI46" s="3">
        <f>IFERROR(INDEX(CEA_ROCKET_IAC_SOLVE($A$10:$D$12,C47,$D$16:$D$18,$E$16:$E$16,$F$16:$F$18,B47,,,,,$E$11:$E$12,$B$18,,,,,,$A$22:$A$22,$C$22:$C$29,$B$5,$B$6,TRUE),1,108),"")</f>
      </c>
      <c r="KJ46" s="3">
        <f>IFERROR(INDEX(CEA_ROCKET_IAC_SOLVE($A$10:$D$12,C47,$D$16:$D$18,$E$16:$E$16,$F$16:$F$18,B47,,,,,$E$11:$E$12,$B$18,,,,,,$A$22:$A$22,$C$22:$C$29,$B$5,$B$6,TRUE),1,109),"")</f>
      </c>
      <c r="KK46" s="3">
        <f>IFERROR(INDEX(CEA_ROCKET_IAC_SOLVE($A$10:$D$12,C47,$D$16:$D$18,$E$16:$E$16,$F$16:$F$18,B47,,,,,$E$11:$E$12,$B$18,,,,,,$A$22:$A$22,$C$22:$C$29,$B$5,$B$6,TRUE),1,110),"")</f>
      </c>
      <c r="KL46" s="3">
        <f>IFERROR(INDEX(CEA_ROCKET_IAC_SOLVE($A$10:$D$12,C47,$D$16:$D$18,$E$16:$E$16,$F$16:$F$18,B47,,,,,$E$11:$E$12,$B$18,,,,,,$A$22:$A$22,$C$22:$C$29,$B$5,$B$6,TRUE),1,111),"")</f>
      </c>
      <c r="KM46" s="3">
        <f>IFERROR(INDEX(CEA_ROCKET_IAC_SOLVE($A$10:$D$12,C47,$D$16:$D$18,$E$16:$E$16,$F$16:$F$18,B47,,,,,$E$11:$E$12,$B$18,,,,,,$A$22:$A$22,$C$22:$C$29,$B$5,$B$6,TRUE),1,112),"")</f>
      </c>
      <c r="KN46" s="3">
        <f>IFERROR(INDEX(CEA_ROCKET_IAC_SOLVE($A$10:$D$12,C47,$D$16:$D$18,$E$16:$E$16,$F$16:$F$18,B47,,,,,$E$11:$E$12,$B$18,,,,,,$A$22:$A$22,$C$22:$C$29,$B$5,$B$6,TRUE),1,113),"")</f>
      </c>
      <c r="KO46" s="3">
        <f>IFERROR(INDEX(CEA_ROCKET_IAC_SOLVE($A$10:$D$12,C47,$D$16:$D$18,$E$16:$E$16,$F$16:$F$18,B47,,,,,$E$11:$E$12,$B$18,,,,,,$A$22:$A$22,$C$22:$C$29,$B$5,$B$6,TRUE),1,114),"")</f>
      </c>
      <c r="KP46" s="3">
        <f>IFERROR(INDEX(CEA_ROCKET_IAC_SOLVE($A$10:$D$12,C47,$D$16:$D$18,$E$16:$E$16,$F$16:$F$18,B47,,,,,$E$11:$E$12,$B$18,,,,,,$A$22:$A$22,$C$22:$C$29,$B$5,$B$6,TRUE),1,115),"")</f>
      </c>
      <c r="KQ46" s="3">
        <f>IFERROR(INDEX(CEA_ROCKET_IAC_SOLVE($A$10:$D$12,C47,$D$16:$D$18,$E$16:$E$16,$F$16:$F$18,B47,,,,,$E$11:$E$12,$B$18,,,,,,$A$22:$A$22,$C$22:$C$29,$B$5,$B$6,TRUE),1,116),"")</f>
      </c>
      <c r="KR46" s="3">
        <f>IFERROR(INDEX(CEA_ROCKET_IAC_SOLVE($A$10:$D$12,C47,$D$16:$D$18,$E$16:$E$16,$F$16:$F$18,B47,,,,,$E$11:$E$12,$B$18,,,,,,$A$22:$A$22,$C$22:$C$29,$B$5,$B$6,TRUE),1,117),"")</f>
      </c>
      <c r="KS46" s="3">
        <f>IFERROR(INDEX(CEA_ROCKET_IAC_SOLVE($A$10:$D$12,C47,$D$16:$D$18,$E$16:$E$16,$F$16:$F$18,B47,,,,,$E$11:$E$12,$B$18,,,,,,$A$22:$A$22,$C$22:$C$29,$B$5,$B$6,TRUE),1,118),"")</f>
      </c>
      <c r="KT46" s="3">
        <f>IFERROR(INDEX(CEA_ROCKET_IAC_SOLVE($A$10:$D$12,C47,$D$16:$D$18,$E$16:$E$16,$F$16:$F$18,B47,,,,,$E$11:$E$12,$B$18,,,,,,$A$22:$A$22,$C$22:$C$29,$B$5,$B$6,TRUE),1,119),"")</f>
      </c>
      <c r="KU46" s="3">
        <f>IFERROR(INDEX(CEA_ROCKET_IAC_SOLVE($A$10:$D$12,C47,$D$16:$D$18,$E$16:$E$16,$F$16:$F$18,B47,,,,,$E$11:$E$12,$B$18,,,,,,$A$22:$A$22,$C$22:$C$29,$B$5,$B$6,TRUE),1,120),"")</f>
      </c>
      <c r="KV46" s="3">
        <f>IFERROR(INDEX(CEA_ROCKET_IAC_SOLVE($A$10:$D$12,C47,$D$16:$D$18,$E$16:$E$16,$F$16:$F$18,B47,,,,,$E$11:$E$12,$B$18,,,,,,$A$22:$A$22,$C$22:$C$29,$B$5,$B$6,TRUE),1,121),"")</f>
      </c>
      <c r="KW46" s="3">
        <f>IFERROR(INDEX(CEA_ROCKET_IAC_SOLVE($A$10:$D$12,C47,$D$16:$D$18,$E$16:$E$16,$F$16:$F$18,B47,,,,,$E$11:$E$12,$B$18,,,,,,$A$22:$A$22,$C$22:$C$29,$B$5,$B$6,TRUE),1,122),"")</f>
      </c>
      <c r="KX46" s="3">
        <f>IFERROR(INDEX(CEA_ROCKET_IAC_SOLVE($A$10:$D$12,C47,$D$16:$D$18,$E$16:$E$16,$F$16:$F$18,B47,,,,,$E$11:$E$12,$B$18,,,,,,$A$22:$A$22,$C$22:$C$29,$B$5,$B$6,TRUE),1,123),"")</f>
      </c>
      <c r="KY46" s="3">
        <f>IFERROR(INDEX(CEA_ROCKET_IAC_SOLVE($A$10:$D$12,C47,$D$16:$D$18,$E$16:$E$16,$F$16:$F$18,B47,,,,,$E$11:$E$12,$B$18,,,,,,$A$22:$A$22,$C$22:$C$29,$B$5,$B$6,TRUE),1,124),"")</f>
      </c>
      <c r="KZ46" s="3">
        <f>IFERROR(INDEX(CEA_ROCKET_IAC_SOLVE($A$10:$D$12,C47,$D$16:$D$18,$E$16:$E$16,$F$16:$F$18,B47,,,,,$E$11:$E$12,$B$18,,,,,,$A$22:$A$22,$C$22:$C$29,$B$5,$B$6,TRUE),1,125),"")</f>
      </c>
      <c r="LA46" s="3">
        <f>IFERROR(INDEX(CEA_ROCKET_IAC_SOLVE($A$10:$D$12,C47,$D$16:$D$18,$E$16:$E$16,$F$16:$F$18,B47,,,,,$E$11:$E$12,$B$18,,,,,,$A$22:$A$22,$C$22:$C$29,$B$5,$B$6,TRUE),1,126),"")</f>
      </c>
      <c r="LB46" s="3">
        <f>IFERROR(INDEX(CEA_ROCKET_IAC_SOLVE($A$10:$D$12,C47,$D$16:$D$18,$E$16:$E$16,$F$16:$F$18,B47,,,,,$E$11:$E$12,$B$18,,,,,,$A$22:$A$22,$C$22:$C$29,$B$5,$B$6,TRUE),1,127),"")</f>
      </c>
      <c r="LC46" s="3">
        <f>IFERROR(INDEX(CEA_ROCKET_IAC_SOLVE($A$10:$D$12,C47,$D$16:$D$18,$E$16:$E$16,$F$16:$F$18,B47,,,,,$E$11:$E$12,$B$18,,,,,,$A$22:$A$22,$C$22:$C$29,$B$5,$B$6,TRUE),1,128),"")</f>
      </c>
      <c r="LD46" s="3">
        <f>IFERROR(INDEX(CEA_ROCKET_IAC_SOLVE($A$10:$D$12,C47,$D$16:$D$18,$E$16:$E$16,$F$16:$F$18,B47,,,,,$E$11:$E$12,$B$18,,,,,,$A$22:$A$22,$C$22:$C$29,$B$5,$B$6,TRUE),1,129),"")</f>
      </c>
      <c r="LE46" s="3">
        <f>IFERROR(INDEX(CEA_ROCKET_IAC_SOLVE($A$10:$D$12,C47,$D$16:$D$18,$E$16:$E$16,$F$16:$F$18,B47,,,,,$E$11:$E$12,$B$18,,,,,,$A$22:$A$22,$C$22:$C$29,$B$5,$B$6,TRUE),1,130),"")</f>
      </c>
      <c r="LF46" s="3">
        <f>IFERROR(INDEX(CEA_ROCKET_IAC_SOLVE($A$10:$D$12,C47,$D$16:$D$18,$E$16:$E$16,$F$16:$F$18,B47,,,,,$E$11:$E$12,$B$18,,,,,,$A$22:$A$22,$C$22:$C$29,$B$5,$B$6,TRUE),1,131),"")</f>
      </c>
      <c r="LG46" s="3">
        <f>IFERROR(INDEX(CEA_ROCKET_IAC_SOLVE($A$10:$D$12,C47,$D$16:$D$18,$E$16:$E$16,$F$16:$F$18,B47,,,,,$E$11:$E$12,$B$18,,,,,,$A$22:$A$22,$C$22:$C$29,$B$5,$B$6,TRUE),1,132),"")</f>
      </c>
      <c r="LH46" s="3">
        <f>IFERROR(INDEX(CEA_ROCKET_IAC_SOLVE($A$10:$D$12,C47,$D$16:$D$18,$E$16:$E$16,$F$16:$F$18,B47,,,,,$E$11:$E$12,$B$18,,,,,,$A$22:$A$22,$C$22:$C$29,$B$5,$B$6,TRUE),1,133),"")</f>
      </c>
      <c r="LI46" s="3">
        <f>IFERROR(INDEX(CEA_ROCKET_IAC_SOLVE($A$10:$D$12,C47,$D$16:$D$18,$E$16:$E$16,$F$16:$F$18,B47,,,,,$E$11:$E$12,$B$18,,,,,,$A$22:$A$22,$C$22:$C$29,$B$5,$B$6,TRUE),1,134),"")</f>
      </c>
      <c r="LJ46" s="3">
        <f>IFERROR(INDEX(CEA_ROCKET_IAC_SOLVE($A$10:$D$12,C47,$D$16:$D$18,$E$16:$E$16,$F$16:$F$18,B47,,,,,$E$11:$E$12,$B$18,,,,,,$A$22:$A$22,$C$22:$C$29,$B$5,$B$6,TRUE),1,135),"")</f>
      </c>
      <c r="LK46" s="3">
        <f>IFERROR(INDEX(CEA_ROCKET_IAC_SOLVE($A$10:$D$12,C47,$D$16:$D$18,$E$16:$E$16,$F$16:$F$18,B47,,,,,$E$11:$E$12,$B$18,,,,,,$A$22:$A$22,$C$22:$C$29,$B$5,$B$6,TRUE),1,136),"")</f>
      </c>
      <c r="LL46" s="3">
        <f>IFERROR(INDEX(CEA_ROCKET_IAC_SOLVE($A$10:$D$12,C47,$D$16:$D$18,$E$16:$E$16,$F$16:$F$18,B47,,,,,$E$11:$E$12,$B$18,,,,,,$A$22:$A$22,$C$22:$C$29,$B$5,$B$6,TRUE),1,137),"")</f>
      </c>
      <c r="LM46" s="3">
        <f>IFERROR(INDEX(CEA_ROCKET_IAC_SOLVE($A$10:$D$12,C47,$D$16:$D$18,$E$16:$E$16,$F$16:$F$18,B47,,,,,$E$11:$E$12,$B$18,,,,,,$A$22:$A$22,$C$22:$C$29,$B$5,$B$6,TRUE),1,138),"")</f>
      </c>
      <c r="LN46" s="3">
        <f>IFERROR(INDEX(CEA_ROCKET_IAC_SOLVE($A$10:$D$12,C47,$D$16:$D$18,$E$16:$E$16,$F$16:$F$18,B47,,,,,$E$11:$E$12,$B$18,,,,,,$A$22:$A$22,$C$22:$C$29,$B$5,$B$6,TRUE),1,139),"")</f>
      </c>
      <c r="LO46" s="3">
        <f>IFERROR(INDEX(CEA_ROCKET_IAC_SOLVE($A$10:$D$12,C47,$D$16:$D$18,$E$16:$E$16,$F$16:$F$18,B47,,,,,$E$11:$E$12,$B$18,,,,,,$A$22:$A$22,$C$22:$C$29,$B$5,$B$6,TRUE),1,140),"")</f>
      </c>
      <c r="LP46" s="3">
        <f>IFERROR(INDEX(CEA_ROCKET_IAC_SOLVE($A$10:$D$12,C47,$D$16:$D$18,$E$16:$E$16,$F$16:$F$18,B47,,,,,$E$11:$E$12,$B$18,,,,,,$A$22:$A$22,$C$22:$C$29,$B$5,$B$6,TRUE),1,141),"")</f>
      </c>
      <c r="LQ46" s="3">
        <f>IFERROR(INDEX(CEA_ROCKET_IAC_SOLVE($A$10:$D$12,C47,$D$16:$D$18,$E$16:$E$16,$F$16:$F$18,B47,,,,,$E$11:$E$12,$B$18,,,,,,$A$22:$A$22,$C$22:$C$29,$B$5,$B$6,TRUE),1,142),"")</f>
      </c>
      <c r="LR46" s="3">
        <f>IFERROR(INDEX(CEA_ROCKET_IAC_SOLVE($A$10:$D$12,C47,$D$16:$D$18,$E$16:$E$16,$F$16:$F$18,B47,,,,,$E$11:$E$12,$B$18,,,,,,$A$22:$A$22,$C$22:$C$29,$B$5,$B$6,TRUE),1,143),"")</f>
      </c>
      <c r="LS46" s="3">
        <f>IFERROR(INDEX(CEA_ROCKET_IAC_SOLVE($A$10:$D$12,C47,$D$16:$D$18,$E$16:$E$16,$F$16:$F$18,B47,,,,,$E$11:$E$12,$B$18,,,,,,$A$22:$A$22,$C$22:$C$29,$B$5,$B$6,TRUE),1,144),"")</f>
      </c>
      <c r="LT46" s="3">
        <f>IFERROR(INDEX(CEA_ROCKET_IAC_SOLVE($A$10:$D$12,C47,$D$16:$D$18,$E$16:$E$16,$F$16:$F$18,B47,,,,,$E$11:$E$12,$B$18,,,,,,$A$22:$A$22,$C$22:$C$29,$B$5,$B$6,TRUE),1,145),"")</f>
      </c>
      <c r="LU46" s="3">
        <f>IFERROR(INDEX(CEA_ROCKET_IAC_SOLVE($A$10:$D$12,C47,$D$16:$D$18,$E$16:$E$16,$F$16:$F$18,B47,,,,,$E$11:$E$12,$B$18,,,,,,$A$22:$A$22,$C$22:$C$29,$B$5,$B$6,TRUE),1,146),"")</f>
      </c>
      <c r="LV46" s="3">
        <f>IFERROR(INDEX(CEA_ROCKET_IAC_SOLVE($A$10:$D$12,C47,$D$16:$D$18,$E$16:$E$16,$F$16:$F$18,B47,,,,,$E$11:$E$12,$B$18,,,,,,$A$22:$A$22,$C$22:$C$29,$B$5,$B$6,TRUE),1,147),"")</f>
      </c>
      <c r="LW46" s="3">
        <f>IFERROR(INDEX(CEA_ROCKET_IAC_SOLVE($A$10:$D$12,C47,$D$16:$D$18,$E$16:$E$16,$F$16:$F$18,B47,,,,,$E$11:$E$12,$B$18,,,,,,$A$22:$A$22,$C$22:$C$29,$B$5,$B$6,TRUE),1,148),"")</f>
      </c>
      <c r="LX46" s="3">
        <f>IFERROR(INDEX(CEA_ROCKET_IAC_SOLVE($A$10:$D$12,C47,$D$16:$D$18,$E$16:$E$16,$F$16:$F$18,B47,,,,,$E$11:$E$12,$B$18,,,,,,$A$22:$A$22,$C$22:$C$29,$B$5,$B$6,TRUE),1,149),"")</f>
      </c>
      <c r="LY46" s="3">
        <f>IFERROR(INDEX(CEA_ROCKET_IAC_SOLVE($A$10:$D$12,C47,$D$16:$D$18,$E$16:$E$16,$F$16:$F$18,B47,,,,,$E$11:$E$12,$B$18,,,,,,$A$22:$A$22,$C$22:$C$29,$B$5,$B$6,TRUE),1,150),"")</f>
      </c>
      <c r="LZ46" s="3">
        <f>IFERROR(INDEX(CEA_ROCKET_IAC_SOLVE($A$10:$D$12,C47,$D$16:$D$18,$E$16:$E$16,$F$16:$F$18,B47,,,,,$E$11:$E$12,$B$18,,,,,,$A$22:$A$22,$C$22:$C$29,$B$5,$B$6,TRUE),1,151),"")</f>
      </c>
      <c r="MA46" s="3">
        <f>IFERROR(INDEX(CEA_ROCKET_IAC_SOLVE($A$10:$D$12,C47,$D$16:$D$18,$E$16:$E$16,$F$16:$F$18,B47,,,,,$E$11:$E$12,$B$18,,,,,,$A$22:$A$22,$C$22:$C$29,$B$5,$B$6,TRUE),1,152),"")</f>
      </c>
      <c r="MB46" s="3">
        <f>IFERROR(INDEX(CEA_ROCKET_IAC_SOLVE($A$10:$D$12,C47,$D$16:$D$18,$E$16:$E$16,$F$16:$F$18,B47,,,,,$E$11:$E$12,$B$18,,,,,,$A$22:$A$22,$C$22:$C$29,$B$5,$B$6,TRUE),1,153),"")</f>
      </c>
      <c r="MC46" s="3">
        <f>IFERROR(INDEX(CEA_ROCKET_IAC_SOLVE($A$10:$D$12,C47,$D$16:$D$18,$E$16:$E$16,$F$16:$F$18,B47,,,,,$E$11:$E$12,$B$18,,,,,,$A$22:$A$22,$C$22:$C$29,$B$5,$B$6,TRUE),1,154),"")</f>
      </c>
      <c r="MD46" s="3">
        <f>IFERROR(INDEX(CEA_ROCKET_IAC_SOLVE($A$10:$D$12,C47,$D$16:$D$18,$E$16:$E$16,$F$16:$F$18,B47,,,,,$E$11:$E$12,$B$18,,,,,,$A$22:$A$22,$C$22:$C$29,$B$5,$B$6,TRUE),1,155),"")</f>
      </c>
      <c r="ME46" s="3">
        <f>IFERROR(INDEX(CEA_ROCKET_IAC_SOLVE($A$10:$D$12,C47,$D$16:$D$18,$E$16:$E$16,$F$16:$F$18,B47,,,,,$E$11:$E$12,$B$18,,,,,,$A$22:$A$22,$C$22:$C$29,$B$5,$B$6,TRUE),1,156),"")</f>
      </c>
    </row>
    <row r="47" spans="1:343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INDEX(CEA_ROCKET_IAC_SOLVE($A$10:$D$12,C47,$D$16:$D$18,$E$16:$E$16,$F$16:$F$18,B47,,,,,$E$11:$E$12,$B$18,,,,,,$A$22:$A$42,$C$22:$C$29,$B$5,$B$6,FALSE),1,1)</f>
      </c>
      <c r="I47" s="5">
        <f>INDEX(CEA_ROCKET_IAC_SOLVE($A$10:$D$12,C47,$D$16:$D$18,$E$16:$E$16,$F$16:$F$18,B47,,,,,$E$11:$E$12,$B$18,,,,,,$A$22:$A$42,$C$22:$C$29,$B$5,$B$6,FALSE),1,2)</f>
      </c>
      <c r="J47" s="5">
        <f>INDEX(CEA_ROCKET_IAC_SOLVE($A$10:$D$12,C47,$D$16:$D$18,$E$16:$E$16,$F$16:$F$18,B47,,,,,$E$11:$E$12,$B$18,,,,,,$A$22:$A$42,$C$22:$C$29,$B$5,$B$6,FALSE),1,3)</f>
      </c>
      <c r="K47" s="5">
        <f>INDEX(CEA_ROCKET_IAC_SOLVE($A$10:$D$12,C47,$D$16:$D$18,$E$16:$E$16,$F$16:$F$18,B47,,,,,$E$11:$E$12,$B$18,,,,,,$A$22:$A$42,$C$22:$C$29,$B$5,$B$6,FALSE),1,4)</f>
      </c>
      <c r="L47" s="5">
        <f>INDEX(CEA_ROCKET_IAC_SOLVE($A$10:$D$12,C47,$D$16:$D$18,$E$16:$E$16,$F$16:$F$18,B47,,,,,$E$11:$E$12,$B$18,,,,,,$A$22:$A$42,$C$22:$C$29,$B$5,$B$6,FALSE),1,5)</f>
      </c>
      <c r="M47" s="5">
        <f>INDEX(CEA_ROCKET_IAC_SOLVE($A$10:$D$12,C47,$D$16:$D$18,$E$16:$E$16,$F$16:$F$18,B47,,,,,$E$11:$E$12,$B$18,,,,,,$A$22:$A$42,$C$22:$C$29,$B$5,$B$6,FALSE),1,6)</f>
      </c>
      <c r="N47" s="5">
        <f>INDEX(CEA_ROCKET_IAC_SOLVE($A$10:$D$12,C47,$D$16:$D$18,$E$16:$E$16,$F$16:$F$18,B47,,,,,$E$11:$E$12,$B$18,,,,,,$A$22:$A$42,$C$22:$C$29,$B$5,$B$6,FALSE),1,7)</f>
      </c>
      <c r="O47" s="5">
        <f>INDEX(CEA_ROCKET_IAC_SOLVE($A$10:$D$12,C47,$D$16:$D$18,$E$16:$E$16,$F$16:$F$18,B47,,,,,$E$11:$E$12,$B$18,,,,,,$A$22:$A$42,$C$22:$C$29,$B$5,$B$6,FALSE),1,8)</f>
      </c>
      <c r="P47" s="5">
        <f>INDEX(CEA_ROCKET_IAC_SOLVE($A$10:$D$12,C47,$D$16:$D$18,$E$16:$E$16,$F$16:$F$18,B47,,,,,$E$11:$E$12,$B$18,,,,,,$A$22:$A$42,$C$22:$C$29,$B$5,$B$6,FALSE),1,9)</f>
      </c>
      <c r="Q47" s="5">
        <f>INDEX(CEA_ROCKET_IAC_SOLVE($A$10:$D$12,C47,$D$16:$D$18,$E$16:$E$16,$F$16:$F$18,B47,,,,,$E$11:$E$12,$B$18,,,,,,$A$22:$A$42,$C$22:$C$29,$B$5,$B$6,FALSE),1,10)</f>
      </c>
      <c r="R47" s="5">
        <f>INDEX(CEA_ROCKET_IAC_SOLVE($A$10:$D$12,C47,$D$16:$D$18,$E$16:$E$16,$F$16:$F$18,B47,,,,,$E$11:$E$12,$B$18,,,,,,$A$22:$A$42,$C$22:$C$29,$B$5,$B$6,FALSE),1,11)</f>
      </c>
      <c r="S47" s="5">
        <f>INDEX(CEA_ROCKET_IAC_SOLVE($A$10:$D$12,C47,$D$16:$D$18,$E$16:$E$16,$F$16:$F$18,B47,,,,,$E$11:$E$12,$B$18,,,,,,$A$22:$A$42,$C$22:$C$29,$B$5,$B$6,FALSE),1,12)</f>
      </c>
      <c r="T47" s="5">
        <f>INDEX(CEA_ROCKET_IAC_SOLVE($A$10:$D$12,C47,$D$16:$D$18,$E$16:$E$16,$F$16:$F$18,B47,,,,,$E$11:$E$12,$B$18,,,,,,$A$22:$A$42,$C$22:$C$29,$B$5,$B$6,FALSE),1,13)</f>
      </c>
      <c r="U47" s="5">
        <f>INDEX(CEA_ROCKET_IAC_SOLVE($A$10:$D$12,C47,$D$16:$D$18,$E$16:$E$16,$F$16:$F$18,B47,,,,,$E$11:$E$12,$B$18,,,,,,$A$22:$A$42,$C$22:$C$29,$B$5,$B$6,FALSE),1,14)</f>
      </c>
      <c r="V47" s="5">
        <f>INDEX(CEA_ROCKET_IAC_SOLVE($A$10:$D$12,C47,$D$16:$D$18,$E$16:$E$16,$F$16:$F$18,B47,,,,,$E$11:$E$12,$B$18,,,,,,$A$22:$A$42,$C$22:$C$29,$B$5,$B$6,FALSE),1,15)</f>
      </c>
      <c r="W47" s="5">
        <f>INDEX(CEA_ROCKET_IAC_SOLVE($A$10:$D$12,C47,$D$16:$D$18,$E$16:$E$16,$F$16:$F$18,B47,,,,,$E$11:$E$12,$B$18,,,,,,$A$22:$A$42,$C$22:$C$29,$B$5,$B$6,FALSE),1,16)</f>
      </c>
      <c r="X47" s="5">
        <f>INDEX(CEA_ROCKET_IAC_SOLVE($A$10:$D$12,C47,$D$16:$D$18,$E$16:$E$16,$F$16:$F$18,B47,,,,,$E$11:$E$12,$B$18,,,,,,$A$22:$A$42,$C$22:$C$29,$B$5,$B$6,FALSE),1,17)</f>
      </c>
      <c r="Y47" s="5">
        <f>INDEX(CEA_ROCKET_IAC_SOLVE($A$10:$D$12,C47,$D$16:$D$18,$E$16:$E$16,$F$16:$F$18,B47,,,,,$E$11:$E$12,$B$18,,,,,,$A$22:$A$42,$C$22:$C$29,$B$5,$B$6,FALSE),1,18)</f>
      </c>
      <c r="Z47" s="5">
        <f>INDEX(CEA_ROCKET_IAC_SOLVE($A$10:$D$12,C47,$D$16:$D$18,$E$16:$E$16,$F$16:$F$18,B47,,,,,$E$11:$E$12,$B$18,,,,,,$A$22:$A$42,$C$22:$C$29,$B$5,$B$6,FALSE),1,19)</f>
      </c>
      <c r="AA47" s="5">
        <f>INDEX(CEA_ROCKET_IAC_SOLVE($A$10:$D$12,C47,$D$16:$D$18,$E$16:$E$16,$F$16:$F$18,B47,,,,,$E$11:$E$12,$B$18,,,,,,$A$22:$A$42,$C$22:$C$29,$B$5,$B$6,FALSE),1,20)</f>
      </c>
      <c r="AB47" s="5">
        <f>INDEX(CEA_ROCKET_IAC_SOLVE($A$10:$D$12,C47,$D$16:$D$18,$E$16:$E$16,$F$16:$F$18,B47,,,,,$E$11:$E$12,$B$18,,,,,,$A$22:$A$42,$C$22:$C$29,$B$5,$B$6,FALSE),1,21)</f>
      </c>
      <c r="AC47" s="5">
        <f>INDEX(CEA_ROCKET_IAC_SOLVE($A$10:$D$12,C47,$D$16:$D$18,$E$16:$E$16,$F$16:$F$18,B47,,,,,$E$11:$E$12,$B$18,,,,,,$A$22:$A$42,$C$22:$C$29,$B$5,$B$6,FALSE),1,22)</f>
      </c>
      <c r="AD47" s="5">
        <f>INDEX(CEA_ROCKET_IAC_SOLVE($A$10:$D$12,C47,$D$16:$D$18,$E$16:$E$16,$F$16:$F$18,B47,,,,,$E$11:$E$12,$B$18,,,,,,$A$22:$A$42,$C$22:$C$29,$B$5,$B$6,FALSE),1,23)</f>
      </c>
      <c r="AE47" s="5">
        <f>INDEX(CEA_ROCKET_IAC_SOLVE($A$10:$D$12,C47,$D$16:$D$18,$E$16:$E$16,$F$16:$F$18,B47,,,,,$E$11:$E$12,$B$18,,,,,,$A$22:$A$42,$C$22:$C$29,$B$5,$B$6,FALSE),1,24)</f>
      </c>
      <c r="AF47" s="5">
        <f>INDEX(CEA_ROCKET_IAC_SOLVE($A$10:$D$12,C47,$D$16:$D$18,$E$16:$E$16,$F$16:$F$18,B47,,,,,$E$11:$E$12,$B$18,,,,,,$A$22:$A$42,$C$22:$C$29,$B$5,$B$6,FALSE),1,25)</f>
      </c>
      <c r="AG47" s="5">
        <f>INDEX(CEA_ROCKET_IAC_SOLVE($A$10:$D$12,C47,$D$16:$D$18,$E$16:$E$16,$F$16:$F$18,B47,,,,,$E$11:$E$12,$B$18,,,,,,$A$22:$A$42,$C$22:$C$29,$B$5,$B$6,FALSE),1,26)</f>
      </c>
      <c r="AH47" s="5">
        <f>INDEX(CEA_ROCKET_IAC_SOLVE($A$10:$D$12,C47,$D$16:$D$18,$E$16:$E$16,$F$16:$F$18,B47,,,,,$E$11:$E$12,$B$18,,,,,,$A$22:$A$42,$C$22:$C$29,$B$5,$B$6,FALSE),1,27)</f>
      </c>
      <c r="AI47" s="5">
        <f>INDEX(CEA_ROCKET_IAC_SOLVE($A$10:$D$12,C47,$D$16:$D$18,$E$16:$E$16,$F$16:$F$18,B47,,,,,$E$11:$E$12,$B$18,,,,,,$A$22:$A$42,$C$22:$C$29,$B$5,$B$6,FALSE),1,28)</f>
      </c>
      <c r="AJ47" s="5">
        <f>INDEX(CEA_ROCKET_IAC_SOLVE($A$10:$D$12,C47,$D$16:$D$18,$E$16:$E$16,$F$16:$F$18,B47,,,,,$E$11:$E$12,$B$18,,,,,,$A$22:$A$42,$C$22:$C$29,$B$5,$B$6,FALSE),1,29)</f>
      </c>
      <c r="AK47" s="5">
        <f>INDEX(CEA_ROCKET_IAC_SOLVE($A$10:$D$12,C47,$D$16:$D$18,$E$16:$E$16,$F$16:$F$18,B47,,,,,$E$11:$E$12,$B$18,,,,,,$A$22:$A$42,$C$22:$C$29,$B$5,$B$6,FALSE),1,30)</f>
      </c>
      <c r="AL47" s="5">
        <f>INDEX(CEA_ROCKET_IAC_SOLVE($A$10:$D$12,C47,$D$16:$D$18,$E$16:$E$16,$F$16:$F$18,B47,,,,,$E$11:$E$12,$B$18,,,,,,$A$22:$A$42,$C$22:$C$29,$B$5,$B$6,FALSE),1,31)</f>
      </c>
      <c r="AM47" s="5">
        <f>INDEX(CEA_ROCKET_IAC_SOLVE($A$10:$D$12,C47,$D$16:$D$18,$E$16:$E$16,$F$16:$F$18,B47,,,,,$E$11:$E$12,$B$18,,,,,,$A$22:$A$42,$C$22:$C$29,$B$5,$B$6,FALSE),1,32)</f>
      </c>
      <c r="AN47" s="5">
        <f>INDEX(CEA_ROCKET_IAC_SOLVE($A$10:$D$12,C47,$D$16:$D$18,$E$16:$E$16,$F$16:$F$18,B47,,,,,$E$11:$E$12,$B$18,,,,,,$A$22:$A$42,$C$22:$C$29,$B$5,$B$6,FALSE),1,33)</f>
      </c>
      <c r="AO47" s="5">
        <f>INDEX(CEA_ROCKET_IAC_SOLVE($A$10:$D$12,C47,$D$16:$D$18,$E$16:$E$16,$F$16:$F$18,B47,,,,,$E$11:$E$12,$B$18,,,,,,$A$22:$A$42,$C$22:$C$29,$B$5,$B$6,FALSE),1,34)</f>
      </c>
      <c r="AP47" s="5">
        <f>INDEX(CEA_ROCKET_IAC_SOLVE($A$10:$D$12,C47,$D$16:$D$18,$E$16:$E$16,$F$16:$F$18,B47,,,,,$E$11:$E$12,$B$18,,,,,,$A$22:$A$42,$C$22:$C$29,$B$5,$B$6,FALSE),1,35)</f>
      </c>
      <c r="AQ47" s="5">
        <f>INDEX(CEA_ROCKET_IAC_SOLVE($A$10:$D$12,C47,$D$16:$D$18,$E$16:$E$16,$F$16:$F$18,B47,,,,,$E$11:$E$12,$B$18,,,,,,$A$22:$A$42,$C$22:$C$29,$B$5,$B$6,FALSE),1,36)</f>
      </c>
      <c r="AR47" s="5">
        <f>INDEX(CEA_ROCKET_IAC_SOLVE($A$10:$D$12,C47,$D$16:$D$18,$E$16:$E$16,$F$16:$F$18,B47,,,,,$E$11:$E$12,$B$18,,,,,,$A$22:$A$42,$C$22:$C$29,$B$5,$B$6,FALSE),1,37)</f>
      </c>
      <c r="AS47" s="5">
        <f>INDEX(CEA_ROCKET_IAC_SOLVE($A$10:$D$12,C47,$D$16:$D$18,$E$16:$E$16,$F$16:$F$18,B47,,,,,$E$11:$E$12,$B$18,,,,,,$A$22:$A$42,$C$22:$C$29,$B$5,$B$6,FALSE),1,38)</f>
      </c>
      <c r="AT47" s="5">
        <f>INDEX(CEA_ROCKET_IAC_SOLVE($A$10:$D$12,C47,$D$16:$D$18,$E$16:$E$16,$F$16:$F$18,B47,,,,,$E$11:$E$12,$B$18,,,,,,$A$22:$A$42,$C$22:$C$29,$B$5,$B$6,FALSE),1,39)</f>
      </c>
      <c r="AU47" s="5">
        <f>INDEX(CEA_ROCKET_IAC_SOLVE($A$10:$D$12,C47,$D$16:$D$18,$E$16:$E$16,$F$16:$F$18,B47,,,,,$E$11:$E$12,$B$18,,,,,,$A$22:$A$42,$C$22:$C$29,$B$5,$B$6,FALSE),1,40)</f>
      </c>
      <c r="AV47" s="5">
        <f>INDEX(CEA_ROCKET_IAC_SOLVE($A$10:$D$12,C47,$D$16:$D$18,$E$16:$E$16,$F$16:$F$18,B47,,,,,$E$11:$E$12,$B$18,,,,,,$A$22:$A$42,$C$22:$C$29,$B$5,$B$6,FALSE),1,41)</f>
      </c>
      <c r="AW47" s="5">
        <f>INDEX(CEA_ROCKET_IAC_SOLVE($A$10:$D$12,C47,$D$16:$D$18,$E$16:$E$16,$F$16:$F$18,B47,,,,,$E$11:$E$12,$B$18,,,,,,$A$22:$A$42,$C$22:$C$29,$B$5,$B$6,FALSE),1,42)</f>
      </c>
      <c r="AX47" s="5">
        <f>INDEX(CEA_ROCKET_IAC_SOLVE($A$10:$D$12,C47,$D$16:$D$18,$E$16:$E$16,$F$16:$F$18,B47,,,,,$E$11:$E$12,$B$18,,,,,,$A$22:$A$42,$C$22:$C$29,$B$5,$B$6,FALSE),1,43)</f>
      </c>
      <c r="AY47" s="5">
        <f>INDEX(CEA_ROCKET_IAC_SOLVE($A$10:$D$12,C47,$D$16:$D$18,$E$16:$E$16,$F$16:$F$18,B47,,,,,$E$11:$E$12,$B$18,,,,,,$A$22:$A$42,$C$22:$C$29,$B$5,$B$6,FALSE),1,44)</f>
      </c>
      <c r="AZ47" s="5">
        <f>INDEX(CEA_ROCKET_IAC_SOLVE($A$10:$D$12,C47,$D$16:$D$18,$E$16:$E$16,$F$16:$F$18,B47,,,,,$E$11:$E$12,$B$18,,,,,,$A$22:$A$42,$C$22:$C$29,$B$5,$B$6,FALSE),1,45)</f>
      </c>
      <c r="BA47" s="5">
        <f>INDEX(CEA_ROCKET_IAC_SOLVE($A$10:$D$12,C47,$D$16:$D$18,$E$16:$E$16,$F$16:$F$18,B47,,,,,$E$11:$E$12,$B$18,,,,,,$A$22:$A$42,$C$22:$C$29,$B$5,$B$6,FALSE),1,46)</f>
      </c>
      <c r="BB47" s="5">
        <f>INDEX(CEA_ROCKET_IAC_SOLVE($A$10:$D$12,C47,$D$16:$D$18,$E$16:$E$16,$F$16:$F$18,B47,,,,,$E$11:$E$12,$B$18,,,,,,$A$22:$A$42,$C$22:$C$29,$B$5,$B$6,FALSE),1,47)</f>
      </c>
      <c r="BC47" s="5">
        <f>INDEX(CEA_ROCKET_IAC_SOLVE($A$10:$D$12,C47,$D$16:$D$18,$E$16:$E$16,$F$16:$F$18,B47,,,,,$E$11:$E$12,$B$18,,,,,,$A$22:$A$42,$C$22:$C$29,$B$5,$B$6,FALSE),1,48)</f>
      </c>
      <c r="BD47" s="5">
        <f>INDEX(CEA_ROCKET_IAC_SOLVE($A$10:$D$12,C47,$D$16:$D$18,$E$16:$E$16,$F$16:$F$18,B47,,,,,$E$11:$E$12,$B$18,,,,,,$A$22:$A$42,$C$22:$C$29,$B$5,$B$6,FALSE),1,49)</f>
      </c>
      <c r="BE47" s="5">
        <f>INDEX(CEA_ROCKET_IAC_SOLVE($A$10:$D$12,C47,$D$16:$D$18,$E$16:$E$16,$F$16:$F$18,B47,,,,,$E$11:$E$12,$B$18,,,,,,$A$22:$A$42,$C$22:$C$29,$B$5,$B$6,FALSE),1,50)</f>
      </c>
      <c r="BF47" s="5">
        <f>INDEX(CEA_ROCKET_IAC_SOLVE($A$10:$D$12,C47,$D$16:$D$18,$E$16:$E$16,$F$16:$F$18,B47,,,,,$E$11:$E$12,$B$18,,,,,,$A$22:$A$42,$C$22:$C$29,$B$5,$B$6,FALSE),1,51)</f>
      </c>
      <c r="BG47" s="5">
        <f>INDEX(CEA_ROCKET_IAC_SOLVE($A$10:$D$12,C47,$D$16:$D$18,$E$16:$E$16,$F$16:$F$18,B47,,,,,$E$11:$E$12,$B$18,,,,,,$A$22:$A$42,$C$22:$C$29,$B$5,$B$6,FALSE),1,52)</f>
      </c>
      <c r="BH47" s="5">
        <f>INDEX(CEA_ROCKET_IAC_SOLVE($A$10:$D$12,C47,$D$16:$D$18,$E$16:$E$16,$F$16:$F$18,B47,,,,,$E$11:$E$12,$B$18,,,,,,$A$22:$A$42,$C$22:$C$29,$B$5,$B$6,FALSE),1,53)</f>
      </c>
      <c r="BI47" s="5">
        <f>INDEX(CEA_ROCKET_IAC_SOLVE($A$10:$D$12,C47,$D$16:$D$18,$E$16:$E$16,$F$16:$F$18,B47,,,,,$E$11:$E$12,$B$18,,,,,,$A$22:$A$42,$C$22:$C$29,$B$5,$B$6,FALSE),1,54)</f>
      </c>
      <c r="BJ47" s="5">
        <f>INDEX(CEA_ROCKET_IAC_SOLVE($A$10:$D$12,C47,$D$16:$D$18,$E$16:$E$16,$F$16:$F$18,B47,,,,,$E$11:$E$12,$B$18,,,,,,$A$22:$A$42,$C$22:$C$29,$B$5,$B$6,FALSE),1,55)</f>
      </c>
      <c r="BK47" s="5">
        <f>INDEX(CEA_ROCKET_IAC_SOLVE($A$10:$D$12,C47,$D$16:$D$18,$E$16:$E$16,$F$16:$F$18,B47,,,,,$E$11:$E$12,$B$18,,,,,,$A$22:$A$42,$C$22:$C$29,$B$5,$B$6,FALSE),1,56)</f>
      </c>
      <c r="BL47" s="5">
        <f>INDEX(CEA_ROCKET_IAC_SOLVE($A$10:$D$12,C47,$D$16:$D$18,$E$16:$E$16,$F$16:$F$18,B47,,,,,$E$11:$E$12,$B$18,,,,,,$A$22:$A$42,$C$22:$C$29,$B$5,$B$6,FALSE),1,57)</f>
      </c>
      <c r="BM47" s="5">
        <f>INDEX(CEA_ROCKET_IAC_SOLVE($A$10:$D$12,C47,$D$16:$D$18,$E$16:$E$16,$F$16:$F$18,B47,,,,,$E$11:$E$12,$B$18,,,,,,$A$22:$A$42,$C$22:$C$29,$B$5,$B$6,FALSE),1,58)</f>
      </c>
      <c r="BN47" s="5">
        <f>INDEX(CEA_ROCKET_IAC_SOLVE($A$10:$D$12,C47,$D$16:$D$18,$E$16:$E$16,$F$16:$F$18,B47,,,,,$E$11:$E$12,$B$18,,,,,,$A$22:$A$42,$C$22:$C$29,$B$5,$B$6,FALSE),1,59)</f>
      </c>
      <c r="BO47" s="5">
        <f>INDEX(CEA_ROCKET_IAC_SOLVE($A$10:$D$12,C47,$D$16:$D$18,$E$16:$E$16,$F$16:$F$18,B47,,,,,$E$11:$E$12,$B$18,,,,,,$A$22:$A$42,$C$22:$C$29,$B$5,$B$6,FALSE),1,60)</f>
      </c>
      <c r="BP47" s="5">
        <f>INDEX(CEA_ROCKET_IAC_SOLVE($A$10:$D$12,C47,$D$16:$D$18,$E$16:$E$16,$F$16:$F$18,B47,,,,,$E$11:$E$12,$B$18,,,,,,$A$22:$A$42,$C$22:$C$29,$B$5,$B$6,FALSE),1,61)</f>
      </c>
      <c r="BQ47" s="5">
        <f>INDEX(CEA_ROCKET_IAC_SOLVE($A$10:$D$12,C47,$D$16:$D$18,$E$16:$E$16,$F$16:$F$18,B47,,,,,$E$11:$E$12,$B$18,,,,,,$A$22:$A$42,$C$22:$C$29,$B$5,$B$6,FALSE),1,62)</f>
      </c>
      <c r="BR47" s="5">
        <f>INDEX(CEA_ROCKET_IAC_SOLVE($A$10:$D$12,C47,$D$16:$D$18,$E$16:$E$16,$F$16:$F$18,B47,,,,,$E$11:$E$12,$B$18,,,,,,$A$22:$A$42,$C$22:$C$29,$B$5,$B$6,FALSE),1,63)</f>
      </c>
      <c r="BS47" s="5">
        <f>INDEX(CEA_ROCKET_IAC_SOLVE($A$10:$D$12,C47,$D$16:$D$18,$E$16:$E$16,$F$16:$F$18,B47,,,,,$E$11:$E$12,$B$18,,,,,,$A$22:$A$42,$C$22:$C$29,$B$5,$B$6,FALSE),1,64)</f>
      </c>
      <c r="BT47" s="5">
        <f>INDEX(CEA_ROCKET_IAC_SOLVE($A$10:$D$12,C47,$D$16:$D$18,$E$16:$E$16,$F$16:$F$18,B47,,,,,$E$11:$E$12,$B$18,,,,,,$A$22:$A$42,$C$22:$C$29,$B$5,$B$6,FALSE),1,65)</f>
      </c>
      <c r="BU47" s="5">
        <f>INDEX(CEA_ROCKET_IAC_SOLVE($A$10:$D$12,C47,$D$16:$D$18,$E$16:$E$16,$F$16:$F$18,B47,,,,,$E$11:$E$12,$B$18,,,,,,$A$22:$A$42,$C$22:$C$29,$B$5,$B$6,FALSE),1,66)</f>
      </c>
      <c r="BV47" s="5">
        <f>INDEX(CEA_ROCKET_IAC_SOLVE($A$10:$D$12,C47,$D$16:$D$18,$E$16:$E$16,$F$16:$F$18,B47,,,,,$E$11:$E$12,$B$18,,,,,,$A$22:$A$42,$C$22:$C$29,$B$5,$B$6,FALSE),1,67)</f>
      </c>
      <c r="BW47" s="5">
        <f>INDEX(CEA_ROCKET_IAC_SOLVE($A$10:$D$12,C47,$D$16:$D$18,$E$16:$E$16,$F$16:$F$18,B47,,,,,$E$11:$E$12,$B$18,,,,,,$A$22:$A$42,$C$22:$C$29,$B$5,$B$6,FALSE),1,68)</f>
      </c>
      <c r="BX47" s="5">
        <f>INDEX(CEA_ROCKET_IAC_SOLVE($A$10:$D$12,C47,$D$16:$D$18,$E$16:$E$16,$F$16:$F$18,B47,,,,,$E$11:$E$12,$B$18,,,,,,$A$22:$A$42,$C$22:$C$29,$B$5,$B$6,FALSE),1,69)</f>
      </c>
      <c r="BY47" s="5">
        <f>INDEX(CEA_ROCKET_IAC_SOLVE($A$10:$D$12,C47,$D$16:$D$18,$E$16:$E$16,$F$16:$F$18,B47,,,,,$E$11:$E$12,$B$18,,,,,,$A$22:$A$42,$C$22:$C$29,$B$5,$B$6,FALSE),1,70)</f>
      </c>
      <c r="BZ47" s="5">
        <f>INDEX(CEA_ROCKET_IAC_SOLVE($A$10:$D$12,C47,$D$16:$D$18,$E$16:$E$16,$F$16:$F$18,B47,,,,,$E$11:$E$12,$B$18,,,,,,$A$22:$A$42,$C$22:$C$29,$B$5,$B$6,FALSE),1,71)</f>
      </c>
      <c r="CA47" s="5">
        <f>INDEX(CEA_ROCKET_IAC_SOLVE($A$10:$D$12,C47,$D$16:$D$18,$E$16:$E$16,$F$16:$F$18,B47,,,,,$E$11:$E$12,$B$18,,,,,,$A$22:$A$42,$C$22:$C$29,$B$5,$B$6,FALSE),1,72)</f>
      </c>
      <c r="CB47" s="5">
        <f>INDEX(CEA_ROCKET_IAC_SOLVE($A$10:$D$12,C47,$D$16:$D$18,$E$16:$E$16,$F$16:$F$18,B47,,,,,$E$11:$E$12,$B$18,,,,,,$A$22:$A$42,$C$22:$C$29,$B$5,$B$6,FALSE),1,73)</f>
      </c>
      <c r="CC47" s="5">
        <f>INDEX(CEA_ROCKET_IAC_SOLVE($A$10:$D$12,C47,$D$16:$D$18,$E$16:$E$16,$F$16:$F$18,B47,,,,,$E$11:$E$12,$B$18,,,,,,$A$22:$A$42,$C$22:$C$29,$B$5,$B$6,FALSE),1,74)</f>
      </c>
      <c r="CD47" s="5">
        <f>INDEX(CEA_ROCKET_IAC_SOLVE($A$10:$D$12,C47,$D$16:$D$18,$E$16:$E$16,$F$16:$F$18,B47,,,,,$E$11:$E$12,$B$18,,,,,,$A$22:$A$42,$C$22:$C$29,$B$5,$B$6,FALSE),1,75)</f>
      </c>
      <c r="CE47" s="5">
        <f>INDEX(CEA_ROCKET_IAC_SOLVE($A$10:$D$12,C47,$D$16:$D$18,$E$16:$E$16,$F$16:$F$18,B47,,,,,$E$11:$E$12,$B$18,,,,,,$A$22:$A$42,$C$22:$C$29,$B$5,$B$6,FALSE),1,76)</f>
      </c>
      <c r="CF47" s="5">
        <f>INDEX(CEA_ROCKET_IAC_SOLVE($A$10:$D$12,C47,$D$16:$D$18,$E$16:$E$16,$F$16:$F$18,B47,,,,,$E$11:$E$12,$B$18,,,,,,$A$22:$A$42,$C$22:$C$29,$B$5,$B$6,FALSE),1,77)</f>
      </c>
      <c r="CG47" s="5">
        <f>INDEX(CEA_ROCKET_IAC_SOLVE($A$10:$D$12,C47,$D$16:$D$18,$E$16:$E$16,$F$16:$F$18,B47,,,,,$E$11:$E$12,$B$18,,,,,,$A$22:$A$42,$C$22:$C$29,$B$5,$B$6,FALSE),1,78)</f>
      </c>
      <c r="CH47" s="5">
        <f>INDEX(CEA_ROCKET_IAC_SOLVE($A$10:$D$12,C47,$D$16:$D$18,$E$16:$E$16,$F$16:$F$18,B47,,,,,$E$11:$E$12,$B$18,,,,,,$A$22:$A$42,$C$22:$C$29,$B$5,$B$6,FALSE),1,79)</f>
      </c>
      <c r="CI47" s="5">
        <f>INDEX(CEA_ROCKET_IAC_SOLVE($A$10:$D$12,C47,$D$16:$D$18,$E$16:$E$16,$F$16:$F$18,B47,,,,,$E$11:$E$12,$B$18,,,,,,$A$22:$A$42,$C$22:$C$29,$B$5,$B$6,FALSE),1,80)</f>
      </c>
      <c r="CJ47" s="5">
        <f>INDEX(CEA_ROCKET_IAC_SOLVE($A$10:$D$12,C47,$D$16:$D$18,$E$16:$E$16,$F$16:$F$18,B47,,,,,$E$11:$E$12,$B$18,,,,,,$A$22:$A$42,$C$22:$C$29,$B$5,$B$6,FALSE),1,81)</f>
      </c>
      <c r="CK47" s="5">
        <f>INDEX(CEA_ROCKET_IAC_SOLVE($A$10:$D$12,C47,$D$16:$D$18,$E$16:$E$16,$F$16:$F$18,B47,,,,,$E$11:$E$12,$B$18,,,,,,$A$22:$A$42,$C$22:$C$29,$B$5,$B$6,FALSE),1,82)</f>
      </c>
      <c r="CL47" s="5">
        <f>INDEX(CEA_ROCKET_IAC_SOLVE($A$10:$D$12,C47,$D$16:$D$18,$E$16:$E$16,$F$16:$F$18,B47,,,,,$E$11:$E$12,$B$18,,,,,,$A$22:$A$42,$C$22:$C$29,$B$5,$B$6,FALSE),1,83)</f>
      </c>
      <c r="CM47" s="5">
        <f>INDEX(CEA_ROCKET_IAC_SOLVE($A$10:$D$12,C47,$D$16:$D$18,$E$16:$E$16,$F$16:$F$18,B47,,,,,$E$11:$E$12,$B$18,,,,,,$A$22:$A$42,$C$22:$C$29,$B$5,$B$6,FALSE),1,84)</f>
      </c>
      <c r="CN47" s="5">
        <f>INDEX(CEA_ROCKET_IAC_SOLVE($A$10:$D$12,C47,$D$16:$D$18,$E$16:$E$16,$F$16:$F$18,B47,,,,,$E$11:$E$12,$B$18,,,,,,$A$22:$A$42,$C$22:$C$29,$B$5,$B$6,FALSE),1,85)</f>
      </c>
      <c r="CO47" s="5">
        <f>INDEX(CEA_ROCKET_IAC_SOLVE($A$10:$D$12,C47,$D$16:$D$18,$E$16:$E$16,$F$16:$F$18,B47,,,,,$E$11:$E$12,$B$18,,,,,,$A$22:$A$42,$C$22:$C$29,$B$5,$B$6,FALSE),1,86)</f>
      </c>
      <c r="CP47" s="5">
        <f>INDEX(CEA_ROCKET_IAC_SOLVE($A$10:$D$12,C47,$D$16:$D$18,$E$16:$E$16,$F$16:$F$18,B47,,,,,$E$11:$E$12,$B$18,,,,,,$A$22:$A$42,$C$22:$C$29,$B$5,$B$6,FALSE),1,87)</f>
      </c>
      <c r="CQ47" s="5">
        <f>INDEX(CEA_ROCKET_IAC_SOLVE($A$10:$D$12,C47,$D$16:$D$18,$E$16:$E$16,$F$16:$F$18,B47,,,,,$E$11:$E$12,$B$18,,,,,,$A$22:$A$42,$C$22:$C$29,$B$5,$B$6,FALSE),1,88)</f>
      </c>
      <c r="CR47" s="5">
        <f>INDEX(CEA_ROCKET_IAC_SOLVE($A$10:$D$12,C47,$D$16:$D$18,$E$16:$E$16,$F$16:$F$18,B47,,,,,$E$11:$E$12,$B$18,,,,,,$A$22:$A$42,$C$22:$C$29,$B$5,$B$6,FALSE),1,89)</f>
      </c>
      <c r="CS47" s="5">
        <f>INDEX(CEA_ROCKET_IAC_SOLVE($A$10:$D$12,C47,$D$16:$D$18,$E$16:$E$16,$F$16:$F$18,B47,,,,,$E$11:$E$12,$B$18,,,,,,$A$22:$A$42,$C$22:$C$29,$B$5,$B$6,FALSE),1,90)</f>
      </c>
      <c r="CT47" s="5">
        <f>INDEX(CEA_ROCKET_IAC_SOLVE($A$10:$D$12,C47,$D$16:$D$18,$E$16:$E$16,$F$16:$F$18,B47,,,,,$E$11:$E$12,$B$18,,,,,,$A$22:$A$42,$C$22:$C$29,$B$5,$B$6,FALSE),1,91)</f>
      </c>
      <c r="CU47" s="5">
        <f>INDEX(CEA_ROCKET_IAC_SOLVE($A$10:$D$12,C47,$D$16:$D$18,$E$16:$E$16,$F$16:$F$18,B47,,,,,$E$11:$E$12,$B$18,,,,,,$A$22:$A$42,$C$22:$C$29,$B$5,$B$6,FALSE),1,92)</f>
      </c>
      <c r="CV47" s="5">
        <f>INDEX(CEA_ROCKET_IAC_SOLVE($A$10:$D$12,C47,$D$16:$D$18,$E$16:$E$16,$F$16:$F$18,B47,,,,,$E$11:$E$12,$B$18,,,,,,$A$22:$A$42,$C$22:$C$29,$B$5,$B$6,FALSE),1,93)</f>
      </c>
      <c r="CW47" s="5">
        <f>INDEX(CEA_ROCKET_IAC_SOLVE($A$10:$D$12,C47,$D$16:$D$18,$E$16:$E$16,$F$16:$F$18,B47,,,,,$E$11:$E$12,$B$18,,,,,,$A$22:$A$42,$C$22:$C$29,$B$5,$B$6,FALSE),1,94)</f>
      </c>
      <c r="CX47" s="5">
        <f>INDEX(CEA_ROCKET_IAC_SOLVE($A$10:$D$12,C47,$D$16:$D$18,$E$16:$E$16,$F$16:$F$18,B47,,,,,$E$11:$E$12,$B$18,,,,,,$A$22:$A$42,$C$22:$C$29,$B$5,$B$6,FALSE),1,95)</f>
      </c>
      <c r="CY47" s="5">
        <f>INDEX(CEA_ROCKET_IAC_SOLVE($A$10:$D$12,C47,$D$16:$D$18,$E$16:$E$16,$F$16:$F$18,B47,,,,,$E$11:$E$12,$B$18,,,,,,$A$22:$A$42,$C$22:$C$29,$B$5,$B$6,FALSE),1,96)</f>
      </c>
      <c r="CZ47" s="5">
        <f>INDEX(CEA_ROCKET_IAC_SOLVE($A$10:$D$12,C47,$D$16:$D$18,$E$16:$E$16,$F$16:$F$18,B47,,,,,$E$11:$E$12,$B$18,,,,,,$A$22:$A$42,$C$22:$C$29,$B$5,$B$6,FALSE),1,97)</f>
      </c>
      <c r="DA47" s="5">
        <f>INDEX(CEA_ROCKET_IAC_SOLVE($A$10:$D$12,C47,$D$16:$D$18,$E$16:$E$16,$F$16:$F$18,B47,,,,,$E$11:$E$12,$B$18,,,,,,$A$22:$A$42,$C$22:$C$29,$B$5,$B$6,FALSE),1,98)</f>
      </c>
      <c r="DB47" s="5">
        <f>INDEX(CEA_ROCKET_IAC_SOLVE($A$10:$D$12,C47,$D$16:$D$18,$E$16:$E$16,$F$16:$F$18,B47,,,,,$E$11:$E$12,$B$18,,,,,,$A$22:$A$42,$C$22:$C$29,$B$5,$B$6,FALSE),1,99)</f>
      </c>
      <c r="DC47" s="5">
        <f>INDEX(CEA_ROCKET_IAC_SOLVE($A$10:$D$12,C47,$D$16:$D$18,$E$16:$E$16,$F$16:$F$18,B47,,,,,$E$11:$E$12,$B$18,,,,,,$A$22:$A$42,$C$22:$C$29,$B$5,$B$6,FALSE),1,100)</f>
      </c>
      <c r="DD47" s="5">
        <f>INDEX(CEA_ROCKET_IAC_SOLVE($A$10:$D$12,C47,$D$16:$D$18,$E$16:$E$16,$F$16:$F$18,B47,,,,,$E$11:$E$12,$B$18,,,,,,$A$22:$A$42,$C$22:$C$29,$B$5,$B$6,FALSE),1,101)</f>
      </c>
      <c r="DE47" s="5">
        <f>INDEX(CEA_ROCKET_IAC_SOLVE($A$10:$D$12,C47,$D$16:$D$18,$E$16:$E$16,$F$16:$F$18,B47,,,,,$E$11:$E$12,$B$18,,,,,,$A$22:$A$42,$C$22:$C$29,$B$5,$B$6,FALSE),1,102)</f>
      </c>
      <c r="DF47" s="5">
        <f>INDEX(CEA_ROCKET_IAC_SOLVE($A$10:$D$12,C47,$D$16:$D$18,$E$16:$E$16,$F$16:$F$18,B47,,,,,$E$11:$E$12,$B$18,,,,,,$A$22:$A$42,$C$22:$C$29,$B$5,$B$6,FALSE),1,103)</f>
      </c>
      <c r="DG47" s="5">
        <f>INDEX(CEA_ROCKET_IAC_SOLVE($A$10:$D$12,C47,$D$16:$D$18,$E$16:$E$16,$F$16:$F$18,B47,,,,,$E$11:$E$12,$B$18,,,,,,$A$22:$A$42,$C$22:$C$29,$B$5,$B$6,FALSE),1,104)</f>
      </c>
      <c r="DH47" s="5">
        <f>INDEX(CEA_ROCKET_IAC_SOLVE($A$10:$D$12,C47,$D$16:$D$18,$E$16:$E$16,$F$16:$F$18,B47,,,,,$E$11:$E$12,$B$18,,,,,,$A$22:$A$42,$C$22:$C$29,$B$5,$B$6,FALSE),1,105)</f>
      </c>
      <c r="DI47" s="5">
        <f>INDEX(CEA_ROCKET_IAC_SOLVE($A$10:$D$12,C47,$D$16:$D$18,$E$16:$E$16,$F$16:$F$18,B47,,,,,$E$11:$E$12,$B$18,,,,,,$A$22:$A$42,$C$22:$C$29,$B$5,$B$6,FALSE),1,106)</f>
      </c>
      <c r="DJ47" s="5">
        <f>INDEX(CEA_ROCKET_IAC_SOLVE($A$10:$D$12,C47,$D$16:$D$18,$E$16:$E$16,$F$16:$F$18,B47,,,,,$E$11:$E$12,$B$18,,,,,,$A$22:$A$42,$C$22:$C$29,$B$5,$B$6,FALSE),1,107)</f>
      </c>
      <c r="DK47" s="5">
        <f>INDEX(CEA_ROCKET_IAC_SOLVE($A$10:$D$12,C47,$D$16:$D$18,$E$16:$E$16,$F$16:$F$18,B47,,,,,$E$11:$E$12,$B$18,,,,,,$A$22:$A$42,$C$22:$C$29,$B$5,$B$6,FALSE),1,108)</f>
      </c>
      <c r="DL47" s="5">
        <f>INDEX(CEA_ROCKET_IAC_SOLVE($A$10:$D$12,C47,$D$16:$D$18,$E$16:$E$16,$F$16:$F$18,B47,,,,,$E$11:$E$12,$B$18,,,,,,$A$22:$A$42,$C$22:$C$29,$B$5,$B$6,FALSE),1,109)</f>
      </c>
      <c r="DM47" s="5">
        <f>INDEX(CEA_ROCKET_IAC_SOLVE($A$10:$D$12,C47,$D$16:$D$18,$E$16:$E$16,$F$16:$F$18,B47,,,,,$E$11:$E$12,$B$18,,,,,,$A$22:$A$42,$C$22:$C$29,$B$5,$B$6,FALSE),1,110)</f>
      </c>
      <c r="DN47" s="5">
        <f>INDEX(CEA_ROCKET_IAC_SOLVE($A$10:$D$12,C47,$D$16:$D$18,$E$16:$E$16,$F$16:$F$18,B47,,,,,$E$11:$E$12,$B$18,,,,,,$A$22:$A$42,$C$22:$C$29,$B$5,$B$6,FALSE),1,111)</f>
      </c>
      <c r="DO47" s="5">
        <f>INDEX(CEA_ROCKET_IAC_SOLVE($A$10:$D$12,C47,$D$16:$D$18,$E$16:$E$16,$F$16:$F$18,B47,,,,,$E$11:$E$12,$B$18,,,,,,$A$22:$A$42,$C$22:$C$29,$B$5,$B$6,FALSE),1,112)</f>
      </c>
      <c r="DP47" s="5">
        <f>INDEX(CEA_ROCKET_IAC_SOLVE($A$10:$D$12,C47,$D$16:$D$18,$E$16:$E$16,$F$16:$F$18,B47,,,,,$E$11:$E$12,$B$18,,,,,,$A$22:$A$42,$C$22:$C$29,$B$5,$B$6,FALSE),1,113)</f>
      </c>
      <c r="DQ47" s="5">
        <f>INDEX(CEA_ROCKET_IAC_SOLVE($A$10:$D$12,C47,$D$16:$D$18,$E$16:$E$16,$F$16:$F$18,B47,,,,,$E$11:$E$12,$B$18,,,,,,$A$22:$A$42,$C$22:$C$29,$B$5,$B$6,FALSE),1,114)</f>
      </c>
      <c r="DR47" s="5">
        <f>INDEX(CEA_ROCKET_IAC_SOLVE($A$10:$D$12,C47,$D$16:$D$18,$E$16:$E$16,$F$16:$F$18,B47,,,,,$E$11:$E$12,$B$18,,,,,,$A$22:$A$42,$C$22:$C$29,$B$5,$B$6,FALSE),1,115)</f>
      </c>
      <c r="DS47" s="5">
        <f>INDEX(CEA_ROCKET_IAC_SOLVE($A$10:$D$12,C47,$D$16:$D$18,$E$16:$E$16,$F$16:$F$18,B47,,,,,$E$11:$E$12,$B$18,,,,,,$A$22:$A$42,$C$22:$C$29,$B$5,$B$6,FALSE),1,116)</f>
      </c>
      <c r="DT47" s="5">
        <f>INDEX(CEA_ROCKET_IAC_SOLVE($A$10:$D$12,C47,$D$16:$D$18,$E$16:$E$16,$F$16:$F$18,B47,,,,,$E$11:$E$12,$B$18,,,,,,$A$22:$A$42,$C$22:$C$29,$B$5,$B$6,FALSE),1,117)</f>
      </c>
      <c r="DU47" s="5">
        <f>INDEX(CEA_ROCKET_IAC_SOLVE($A$10:$D$12,C47,$D$16:$D$18,$E$16:$E$16,$F$16:$F$18,B47,,,,,$E$11:$E$12,$B$18,,,,,,$A$22:$A$42,$C$22:$C$29,$B$5,$B$6,FALSE),1,118)</f>
      </c>
      <c r="DV47" s="5">
        <f>INDEX(CEA_ROCKET_IAC_SOLVE($A$10:$D$12,C47,$D$16:$D$18,$E$16:$E$16,$F$16:$F$18,B47,,,,,$E$11:$E$12,$B$18,,,,,,$A$22:$A$42,$C$22:$C$29,$B$5,$B$6,FALSE),1,119)</f>
      </c>
      <c r="DW47" s="5">
        <f>INDEX(CEA_ROCKET_IAC_SOLVE($A$10:$D$12,C47,$D$16:$D$18,$E$16:$E$16,$F$16:$F$18,B47,,,,,$E$11:$E$12,$B$18,,,,,,$A$22:$A$42,$C$22:$C$29,$B$5,$B$6,FALSE),1,120)</f>
      </c>
      <c r="DX47" s="5">
        <f>INDEX(CEA_ROCKET_IAC_SOLVE($A$10:$D$12,C47,$D$16:$D$18,$E$16:$E$16,$F$16:$F$18,B47,,,,,$E$11:$E$12,$B$18,,,,,,$A$22:$A$42,$C$22:$C$29,$B$5,$B$6,FALSE),1,121)</f>
      </c>
      <c r="DY47" s="5">
        <f>INDEX(CEA_ROCKET_IAC_SOLVE($A$10:$D$12,C47,$D$16:$D$18,$E$16:$E$16,$F$16:$F$18,B47,,,,,$E$11:$E$12,$B$18,,,,,,$A$22:$A$42,$C$22:$C$29,$B$5,$B$6,FALSE),1,122)</f>
      </c>
      <c r="DZ47" s="5">
        <f>INDEX(CEA_ROCKET_IAC_SOLVE($A$10:$D$12,C47,$D$16:$D$18,$E$16:$E$16,$F$16:$F$18,B47,,,,,$E$11:$E$12,$B$18,,,,,,$A$22:$A$42,$C$22:$C$29,$B$5,$B$6,FALSE),1,123)</f>
      </c>
      <c r="EA47" s="5">
        <f>INDEX(CEA_ROCKET_IAC_SOLVE($A$10:$D$12,C47,$D$16:$D$18,$E$16:$E$16,$F$16:$F$18,B47,,,,,$E$11:$E$12,$B$18,,,,,,$A$22:$A$42,$C$22:$C$29,$B$5,$B$6,FALSE),1,124)</f>
      </c>
      <c r="EB47" s="5">
        <f>INDEX(CEA_ROCKET_IAC_SOLVE($A$10:$D$12,C47,$D$16:$D$18,$E$16:$E$16,$F$16:$F$18,B47,,,,,$E$11:$E$12,$B$18,,,,,,$A$22:$A$42,$C$22:$C$29,$B$5,$B$6,FALSE),1,125)</f>
      </c>
      <c r="EC47" s="5">
        <f>INDEX(CEA_ROCKET_IAC_SOLVE($A$10:$D$12,C47,$D$16:$D$18,$E$16:$E$16,$F$16:$F$18,B47,,,,,$E$11:$E$12,$B$18,,,,,,$A$22:$A$42,$C$22:$C$29,$B$5,$B$6,FALSE),1,126)</f>
      </c>
      <c r="ED47" s="5">
        <f>INDEX(CEA_ROCKET_IAC_SOLVE($A$10:$D$12,C47,$D$16:$D$18,$E$16:$E$16,$F$16:$F$18,B47,,,,,$E$11:$E$12,$B$18,,,,,,$A$22:$A$42,$C$22:$C$29,$B$5,$B$6,FALSE),1,127)</f>
      </c>
      <c r="EE47" s="5">
        <f>INDEX(CEA_ROCKET_IAC_SOLVE($A$10:$D$12,C47,$D$16:$D$18,$E$16:$E$16,$F$16:$F$18,B47,,,,,$E$11:$E$12,$B$18,,,,,,$A$22:$A$42,$C$22:$C$29,$B$5,$B$6,FALSE),1,128)</f>
      </c>
      <c r="EF47" s="5">
        <f>INDEX(CEA_ROCKET_IAC_SOLVE($A$10:$D$12,C47,$D$16:$D$18,$E$16:$E$16,$F$16:$F$18,B47,,,,,$E$11:$E$12,$B$18,,,,,,$A$22:$A$42,$C$22:$C$29,$B$5,$B$6,FALSE),1,129)</f>
      </c>
      <c r="EG47" s="5">
        <f>INDEX(CEA_ROCKET_IAC_SOLVE($A$10:$D$12,C47,$D$16:$D$18,$E$16:$E$16,$F$16:$F$18,B47,,,,,$E$11:$E$12,$B$18,,,,,,$A$22:$A$42,$C$22:$C$29,$B$5,$B$6,FALSE),1,130)</f>
      </c>
      <c r="EH47" s="5">
        <f>INDEX(CEA_ROCKET_IAC_SOLVE($A$10:$D$12,C47,$D$16:$D$18,$E$16:$E$16,$F$16:$F$18,B47,,,,,$E$11:$E$12,$B$18,,,,,,$A$22:$A$42,$C$22:$C$29,$B$5,$B$6,FALSE),1,131)</f>
      </c>
      <c r="EI47" s="5">
        <f>INDEX(CEA_ROCKET_IAC_SOLVE($A$10:$D$12,C47,$D$16:$D$18,$E$16:$E$16,$F$16:$F$18,B47,,,,,$E$11:$E$12,$B$18,,,,,,$A$22:$A$42,$C$22:$C$29,$B$5,$B$6,FALSE),1,132)</f>
      </c>
      <c r="EJ47" s="5">
        <f>INDEX(CEA_ROCKET_IAC_SOLVE($A$10:$D$12,C47,$D$16:$D$18,$E$16:$E$16,$F$16:$F$18,B47,,,,,$E$11:$E$12,$B$18,,,,,,$A$22:$A$42,$C$22:$C$29,$B$5,$B$6,FALSE),1,133)</f>
      </c>
      <c r="EK47" s="5">
        <f>INDEX(CEA_ROCKET_IAC_SOLVE($A$10:$D$12,C47,$D$16:$D$18,$E$16:$E$16,$F$16:$F$18,B47,,,,,$E$11:$E$12,$B$18,,,,,,$A$22:$A$42,$C$22:$C$29,$B$5,$B$6,FALSE),1,134)</f>
      </c>
      <c r="EL47" s="5">
        <f>INDEX(CEA_ROCKET_IAC_SOLVE($A$10:$D$12,C47,$D$16:$D$18,$E$16:$E$16,$F$16:$F$18,B47,,,,,$E$11:$E$12,$B$18,,,,,,$A$22:$A$42,$C$22:$C$29,$B$5,$B$6,FALSE),1,135)</f>
      </c>
      <c r="EM47" s="5">
        <f>INDEX(CEA_ROCKET_IAC_SOLVE($A$10:$D$12,C47,$D$16:$D$18,$E$16:$E$16,$F$16:$F$18,B47,,,,,$E$11:$E$12,$B$18,,,,,,$A$22:$A$42,$C$22:$C$29,$B$5,$B$6,FALSE),1,136)</f>
      </c>
      <c r="EN47" s="5">
        <f>INDEX(CEA_ROCKET_IAC_SOLVE($A$10:$D$12,C47,$D$16:$D$18,$E$16:$E$16,$F$16:$F$18,B47,,,,,$E$11:$E$12,$B$18,,,,,,$A$22:$A$42,$C$22:$C$29,$B$5,$B$6,FALSE),1,137)</f>
      </c>
      <c r="EO47" s="5">
        <f>INDEX(CEA_ROCKET_IAC_SOLVE($A$10:$D$12,C47,$D$16:$D$18,$E$16:$E$16,$F$16:$F$18,B47,,,,,$E$11:$E$12,$B$18,,,,,,$A$22:$A$42,$C$22:$C$29,$B$5,$B$6,FALSE),1,138)</f>
      </c>
      <c r="EP47" s="5">
        <f>INDEX(CEA_ROCKET_IAC_SOLVE($A$10:$D$12,C47,$D$16:$D$18,$E$16:$E$16,$F$16:$F$18,B47,,,,,$E$11:$E$12,$B$18,,,,,,$A$22:$A$42,$C$22:$C$29,$B$5,$B$6,FALSE),1,139)</f>
      </c>
      <c r="EQ47" s="5">
        <f>INDEX(CEA_ROCKET_IAC_SOLVE($A$10:$D$12,C47,$D$16:$D$18,$E$16:$E$16,$F$16:$F$18,B47,,,,,$E$11:$E$12,$B$18,,,,,,$A$22:$A$42,$C$22:$C$29,$B$5,$B$6,FALSE),1,140)</f>
      </c>
      <c r="ER47" s="5">
        <f>INDEX(CEA_ROCKET_IAC_SOLVE($A$10:$D$12,C47,$D$16:$D$18,$E$16:$E$16,$F$16:$F$18,B47,,,,,$E$11:$E$12,$B$18,,,,,,$A$22:$A$42,$C$22:$C$29,$B$5,$B$6,FALSE),1,141)</f>
      </c>
      <c r="ES47" s="5">
        <f>INDEX(CEA_ROCKET_IAC_SOLVE($A$10:$D$12,C47,$D$16:$D$18,$E$16:$E$16,$F$16:$F$18,B47,,,,,$E$11:$E$12,$B$18,,,,,,$A$22:$A$42,$C$22:$C$29,$B$5,$B$6,FALSE),1,142)</f>
      </c>
      <c r="ET47" s="5">
        <f>INDEX(CEA_ROCKET_IAC_SOLVE($A$10:$D$12,C47,$D$16:$D$18,$E$16:$E$16,$F$16:$F$18,B47,,,,,$E$11:$E$12,$B$18,,,,,,$A$22:$A$42,$C$22:$C$29,$B$5,$B$6,FALSE),1,143)</f>
      </c>
      <c r="EU47" s="5">
        <f>INDEX(CEA_ROCKET_IAC_SOLVE($A$10:$D$12,C47,$D$16:$D$18,$E$16:$E$16,$F$16:$F$18,B47,,,,,$E$11:$E$12,$B$18,,,,,,$A$22:$A$42,$C$22:$C$29,$B$5,$B$6,FALSE),1,144)</f>
      </c>
      <c r="EV47" s="5">
        <f>INDEX(CEA_ROCKET_IAC_SOLVE($A$10:$D$12,C47,$D$16:$D$18,$E$16:$E$16,$F$16:$F$18,B47,,,,,$E$11:$E$12,$B$18,,,,,,$A$22:$A$42,$C$22:$C$29,$B$5,$B$6,FALSE),1,145)</f>
      </c>
      <c r="EW47" s="5">
        <f>INDEX(CEA_ROCKET_IAC_SOLVE($A$10:$D$12,C47,$D$16:$D$18,$E$16:$E$16,$F$16:$F$18,B47,,,,,$E$11:$E$12,$B$18,,,,,,$A$22:$A$42,$C$22:$C$29,$B$5,$B$6,FALSE),1,146)</f>
      </c>
      <c r="EX47" s="5">
        <f>INDEX(CEA_ROCKET_IAC_SOLVE($A$10:$D$12,C47,$D$16:$D$18,$E$16:$E$16,$F$16:$F$18,B47,,,,,$E$11:$E$12,$B$18,,,,,,$A$22:$A$42,$C$22:$C$29,$B$5,$B$6,FALSE),1,147)</f>
      </c>
      <c r="EY47" s="5">
        <f>INDEX(CEA_ROCKET_IAC_SOLVE($A$10:$D$12,C47,$D$16:$D$18,$E$16:$E$16,$F$16:$F$18,B47,,,,,$E$11:$E$12,$B$18,,,,,,$A$22:$A$42,$C$22:$C$29,$B$5,$B$6,FALSE),1,148)</f>
      </c>
      <c r="EZ47" s="5">
        <f>INDEX(CEA_ROCKET_IAC_SOLVE($A$10:$D$12,C47,$D$16:$D$18,$E$16:$E$16,$F$16:$F$18,B47,,,,,$E$11:$E$12,$B$18,,,,,,$A$22:$A$42,$C$22:$C$29,$B$5,$B$6,FALSE),1,149)</f>
      </c>
      <c r="FA47" s="5">
        <f>INDEX(CEA_ROCKET_IAC_SOLVE($A$10:$D$12,C47,$D$16:$D$18,$E$16:$E$16,$F$16:$F$18,B47,,,,,$E$11:$E$12,$B$18,,,,,,$A$22:$A$42,$C$22:$C$29,$B$5,$B$6,FALSE),1,150)</f>
      </c>
      <c r="FB47" s="5">
        <f>INDEX(CEA_ROCKET_IAC_SOLVE($A$10:$D$12,C47,$D$16:$D$18,$E$16:$E$16,$F$16:$F$18,B47,,,,,$E$11:$E$12,$B$18,,,,,,$A$22:$A$42,$C$22:$C$29,$B$5,$B$6,FALSE),1,151)</f>
      </c>
      <c r="FC47" s="5">
        <f>INDEX(CEA_ROCKET_IAC_SOLVE($A$10:$D$12,C47,$D$16:$D$18,$E$16:$E$16,$F$16:$F$18,B47,,,,,$E$11:$E$12,$B$18,,,,,,$A$22:$A$42,$C$22:$C$29,$B$5,$B$6,FALSE),1,152)</f>
      </c>
      <c r="FD47" s="5">
        <f>INDEX(CEA_ROCKET_IAC_SOLVE($A$10:$D$12,C47,$D$16:$D$18,$E$16:$E$16,$F$16:$F$18,B47,,,,,$E$11:$E$12,$B$18,,,,,,$A$22:$A$42,$C$22:$C$29,$B$5,$B$6,FALSE),1,153)</f>
      </c>
      <c r="FE47" s="5">
        <f>INDEX(CEA_ROCKET_IAC_SOLVE($A$10:$D$12,C47,$D$16:$D$18,$E$16:$E$16,$F$16:$F$18,B47,,,,,$E$11:$E$12,$B$18,,,,,,$A$22:$A$42,$C$22:$C$29,$B$5,$B$6,FALSE),1,154)</f>
      </c>
      <c r="FF47" s="5">
        <f>INDEX(CEA_ROCKET_IAC_SOLVE($A$10:$D$12,C47,$D$16:$D$18,$E$16:$E$16,$F$16:$F$18,B47,,,,,$E$11:$E$12,$B$18,,,,,,$A$22:$A$42,$C$22:$C$29,$B$5,$B$6,FALSE),1,155)</f>
      </c>
      <c r="FG47" s="5">
        <f>INDEX(CEA_ROCKET_IAC_SOLVE($A$10:$D$12,C47,$D$16:$D$18,$E$16:$E$16,$F$16:$F$18,B47,,,,,$E$11:$E$12,$B$18,,,,,,$A$22:$A$42,$C$22:$C$29,$B$5,$B$6,FALSE),1,156)</f>
      </c>
      <c r="FH47" s="5">
        <f>INDEX(CEA_ROCKET_IAC_SOLVE($A$10:$D$12,C47,$D$16:$D$18,$E$16:$E$16,$F$16:$F$18,B47,,,,,$E$11:$E$12,$B$18,,,,,,$A$22:$A$42,$C$22:$C$29,$B$5,$B$6,FALSE),1,157)</f>
      </c>
      <c r="FI47" s="5">
        <f>INDEX(CEA_ROCKET_IAC_SOLVE($A$10:$D$12,C47,$D$16:$D$18,$E$16:$E$16,$F$16:$F$18,B47,,,,,$E$11:$E$12,$B$18,,,,,,$A$22:$A$42,$C$22:$C$29,$B$5,$B$6,FALSE),1,158)</f>
      </c>
      <c r="FJ47" s="5">
        <f>INDEX(CEA_ROCKET_IAC_SOLVE($A$10:$D$12,C47,$D$16:$D$18,$E$16:$E$16,$F$16:$F$18,B47,,,,,$E$11:$E$12,$B$18,,,,,,$A$22:$A$42,$C$22:$C$29,$B$5,$B$6,FALSE),1,159)</f>
      </c>
      <c r="FK47" s="5">
        <f>INDEX(CEA_ROCKET_IAC_SOLVE($A$10:$D$12,C47,$D$16:$D$18,$E$16:$E$16,$F$16:$F$18,B47,,,,,$E$11:$E$12,$B$18,,,,,,$A$22:$A$42,$C$22:$C$29,$B$5,$B$6,FALSE),1,160)</f>
      </c>
      <c r="FL47" s="5">
        <f>INDEX(CEA_ROCKET_IAC_SOLVE($A$10:$D$12,C47,$D$16:$D$18,$E$16:$E$16,$F$16:$F$18,B47,,,,,$E$11:$E$12,$B$18,,,,,,$A$22:$A$42,$C$22:$C$29,$B$5,$B$6,FALSE),1,161)</f>
      </c>
      <c r="FM47" s="5">
        <f>INDEX(CEA_ROCKET_IAC_SOLVE($A$10:$D$12,C47,$D$16:$D$18,$E$16:$E$16,$F$16:$F$18,B47,,,,,$E$11:$E$12,$B$18,,,,,,$A$22:$A$42,$C$22:$C$29,$B$5,$B$6,FALSE),1,162)</f>
      </c>
      <c r="FN47" s="5">
        <f>INDEX(CEA_ROCKET_IAC_SOLVE($A$10:$D$12,C47,$D$16:$D$18,$E$16:$E$16,$F$16:$F$18,B47,,,,,$E$11:$E$12,$B$18,,,,,,$A$22:$A$42,$C$22:$C$29,$B$5,$B$6,FALSE),1,163)</f>
      </c>
      <c r="FO47" s="5">
        <f>INDEX(CEA_ROCKET_IAC_SOLVE($A$10:$D$12,C47,$D$16:$D$18,$E$16:$E$16,$F$16:$F$18,B47,,,,,$E$11:$E$12,$B$18,,,,,,$A$22:$A$42,$C$22:$C$29,$B$5,$B$6,FALSE),1,164)</f>
      </c>
      <c r="FP47" s="5">
        <f>INDEX(CEA_ROCKET_IAC_SOLVE($A$10:$D$12,C47,$D$16:$D$18,$E$16:$E$16,$F$16:$F$18,B47,,,,,$E$11:$E$12,$B$18,,,,,,$A$22:$A$42,$C$22:$C$29,$B$5,$B$6,FALSE),1,165)</f>
      </c>
      <c r="FQ47" s="5">
        <f>INDEX(CEA_ROCKET_IAC_SOLVE($A$10:$D$12,C47,$D$16:$D$18,$E$16:$E$16,$F$16:$F$18,B47,,,,,$E$11:$E$12,$B$18,,,,,,$A$22:$A$42,$C$22:$C$29,$B$5,$B$6,FALSE),1,166)</f>
      </c>
      <c r="FR47" s="5">
        <f>INDEX(CEA_ROCKET_IAC_SOLVE($A$10:$D$12,C47,$D$16:$D$18,$E$16:$E$16,$F$16:$F$18,B47,,,,,$E$11:$E$12,$B$18,,,,,,$A$22:$A$42,$C$22:$C$29,$B$5,$B$6,FALSE),1,167)</f>
      </c>
      <c r="FS47" s="5">
        <f>INDEX(CEA_ROCKET_IAC_SOLVE($A$10:$D$12,C47,$D$16:$D$18,$E$16:$E$16,$F$16:$F$18,B47,,,,,$E$11:$E$12,$B$18,,,,,,$A$22:$A$42,$C$22:$C$29,$B$5,$B$6,FALSE),1,168)</f>
      </c>
      <c r="FT47" s="5">
        <f>INDEX(CEA_ROCKET_IAC_SOLVE($A$10:$D$12,C47,$D$16:$D$18,$E$16:$E$16,$F$16:$F$18,B47,,,,,$E$11:$E$12,$B$18,,,,,,$A$22:$A$42,$C$22:$C$29,$B$5,$B$6,FALSE),1,169)</f>
      </c>
      <c r="FU47" s="5">
        <f>INDEX(CEA_ROCKET_IAC_SOLVE($A$10:$D$12,C47,$D$16:$D$18,$E$16:$E$16,$F$16:$F$18,B47,,,,,$E$11:$E$12,$B$18,,,,,,$A$22:$A$42,$C$22:$C$29,$B$5,$B$6,FALSE),1,170)</f>
      </c>
      <c r="FV47" s="5">
        <f>INDEX(CEA_ROCKET_IAC_SOLVE($A$10:$D$12,C47,$D$16:$D$18,$E$16:$E$16,$F$16:$F$18,B47,,,,,$E$11:$E$12,$B$18,,,,,,$A$22:$A$42,$C$22:$C$29,$B$5,$B$6,FALSE),1,171)</f>
      </c>
      <c r="FW47" s="5">
        <f>INDEX(CEA_ROCKET_IAC_SOLVE($A$10:$D$12,C47,$D$16:$D$18,$E$16:$E$16,$F$16:$F$18,B47,,,,,$E$11:$E$12,$B$18,,,,,,$A$22:$A$42,$C$22:$C$29,$B$5,$B$6,FALSE),1,172)</f>
      </c>
      <c r="FX47" s="5">
        <f>INDEX(CEA_ROCKET_IAC_SOLVE($A$10:$D$12,C47,$D$16:$D$18,$E$16:$E$16,$F$16:$F$18,B47,,,,,$E$11:$E$12,$B$18,,,,,,$A$22:$A$42,$C$22:$C$29,$B$5,$B$6,FALSE),1,173)</f>
      </c>
      <c r="FY47" s="5">
        <f>INDEX(CEA_ROCKET_IAC_SOLVE($A$10:$D$12,C47,$D$16:$D$18,$E$16:$E$16,$F$16:$F$18,B47,,,,,$E$11:$E$12,$B$18,,,,,,$A$22:$A$42,$C$22:$C$29,$B$5,$B$6,FALSE),1,174)</f>
      </c>
      <c r="FZ47" s="5">
        <f>INDEX(CEA_ROCKET_IAC_SOLVE($A$10:$D$12,C47,$D$16:$D$18,$E$16:$E$16,$F$16:$F$18,B47,,,,,$E$11:$E$12,$B$18,,,,,,$A$22:$A$42,$C$22:$C$29,$B$5,$B$6,FALSE),1,175)</f>
      </c>
      <c r="GA47" s="5">
        <f>INDEX(CEA_ROCKET_IAC_SOLVE($A$10:$D$12,C47,$D$16:$D$18,$E$16:$E$16,$F$16:$F$18,B47,,,,,$E$11:$E$12,$B$18,,,,,,$A$22:$A$42,$C$22:$C$29,$B$5,$B$6,FALSE),1,176)</f>
      </c>
      <c r="GB47" s="5">
        <f>INDEX(CEA_ROCKET_IAC_SOLVE($A$10:$D$12,C47,$D$16:$D$18,$E$16:$E$16,$F$16:$F$18,B47,,,,,$E$11:$E$12,$B$18,,,,,,$A$22:$A$42,$C$22:$C$29,$B$5,$B$6,FALSE),1,177)</f>
      </c>
      <c r="GC47" s="5">
        <f>INDEX(CEA_ROCKET_IAC_SOLVE($A$10:$D$12,C47,$D$16:$D$18,$E$16:$E$16,$F$16:$F$18,B47,,,,,$E$11:$E$12,$B$18,,,,,,$A$22:$A$42,$C$22:$C$29,$B$5,$B$6,FALSE),1,178)</f>
      </c>
      <c r="GD47" s="5">
        <f>INDEX(CEA_ROCKET_IAC_SOLVE($A$10:$D$12,C47,$D$16:$D$18,$E$16:$E$16,$F$16:$F$18,B47,,,,,$E$11:$E$12,$B$18,,,,,,$A$22:$A$42,$C$22:$C$29,$B$5,$B$6,FALSE),1,179)</f>
      </c>
      <c r="GE47" s="5">
        <f>INDEX(CEA_ROCKET_IAC_SOLVE($A$10:$D$12,C47,$D$16:$D$18,$E$16:$E$16,$F$16:$F$18,B47,,,,,$E$11:$E$12,$B$18,,,,,,$A$22:$A$42,$C$22:$C$29,$B$5,$B$6,FALSE),1,180)</f>
      </c>
      <c r="GF47" s="5">
        <f>INDEX(CEA_ROCKET_IAC_SOLVE($A$10:$D$12,C47,$D$16:$D$18,$E$16:$E$16,$F$16:$F$18,B47,,,,,$E$11:$E$12,$B$18,,,,,,$A$22:$A$42,$C$22:$C$29,$B$5,$B$6,FALSE),1,181)</f>
      </c>
      <c r="GG47" s="5">
        <f>INDEX(CEA_ROCKET_IAC_SOLVE($A$10:$D$12,C47,$D$16:$D$18,$E$16:$E$16,$F$16:$F$18,B47,,,,,$E$11:$E$12,$B$18,,,,,,$A$22:$A$42,$C$22:$C$29,$B$5,$B$6,FALSE),1,182)</f>
      </c>
      <c r="GH47" s="5">
        <f>INDEX(CEA_ROCKET_IAC_SOLVE($A$10:$D$12,C47,$D$16:$D$18,$E$16:$E$16,$F$16:$F$18,B47,,,,,$E$11:$E$12,$B$18,,,,,,$A$22:$A$42,$C$22:$C$29,$B$5,$B$6,FALSE),1,183)</f>
      </c>
      <c r="GI47" s="5">
        <f>INDEX(CEA_ROCKET_IAC_SOLVE($A$10:$D$12,C47,$D$16:$D$18,$E$16:$E$16,$F$16:$F$18,B47,,,,,$E$11:$E$12,$B$18,,,,,,$A$22:$A$42,$C$22:$C$29,$B$5,$B$6,FALSE),1,184)</f>
      </c>
      <c r="GJ47" s="5">
        <f>INDEX(CEA_ROCKET_IAC_SOLVE($A$10:$D$12,C47,$D$16:$D$18,$E$16:$E$16,$F$16:$F$18,B47,,,,,$E$11:$E$12,$B$18,,,,,,$A$22:$A$42,$C$22:$C$29,$B$5,$B$6,FALSE),1,185)</f>
      </c>
      <c r="GK47" s="5">
        <f>INDEX(CEA_ROCKET_IAC_SOLVE($A$10:$D$12,C47,$D$16:$D$18,$E$16:$E$16,$F$16:$F$18,B47,,,,,$E$11:$E$12,$B$18,,,,,,$A$22:$A$42,$C$22:$C$29,$B$5,$B$6,FALSE),1,186)</f>
      </c>
      <c r="GL47" s="5">
        <f>INDEX(CEA_ROCKET_IAC_SOLVE($A$10:$D$12,C47,$D$16:$D$18,$E$16:$E$16,$F$16:$F$18,B47,,,,,$E$11:$E$12,$B$18,,,,,,$A$22:$A$42,$C$22:$C$29,$B$5,$B$6,FALSE),1,187)</f>
      </c>
      <c r="GM47" s="5">
        <f>INDEX(CEA_ROCKET_IAC_SOLVE($A$10:$D$12,C47,$D$16:$D$18,$E$16:$E$16,$F$16:$F$18,B47,,,,,$E$11:$E$12,$B$18,,,,,,$A$22:$A$42,$C$22:$C$29,$B$5,$B$6,FALSE),1,188)</f>
      </c>
      <c r="GN47" s="5">
        <f>INDEX(CEA_ROCKET_IAC_SOLVE($A$10:$D$12,C47,$D$16:$D$18,$E$16:$E$16,$F$16:$F$18,B47,,,,,$E$11:$E$12,$B$18,,,,,,$A$22:$A$42,$C$22:$C$29,$B$5,$B$6,FALSE),1,189)</f>
      </c>
      <c r="GO47" s="5">
        <f>INDEX(CEA_ROCKET_IAC_SOLVE($A$10:$D$12,C47,$D$16:$D$18,$E$16:$E$16,$F$16:$F$18,B47,,,,,$E$11:$E$12,$B$18,,,,,,$A$22:$A$42,$C$22:$C$29,$B$5,$B$6,FALSE),1,190)</f>
      </c>
      <c r="GP47" s="5">
        <f>INDEX(CEA_ROCKET_IAC_SOLVE($A$10:$D$12,C47,$D$16:$D$18,$E$16:$E$16,$F$16:$F$18,B47,,,,,$E$11:$E$12,$B$18,,,,,,$A$22:$A$42,$C$22:$C$29,$B$5,$B$6,FALSE),1,191)</f>
      </c>
      <c r="GQ47" s="5">
        <f>INDEX(CEA_ROCKET_IAC_SOLVE($A$10:$D$12,C47,$D$16:$D$18,$E$16:$E$16,$F$16:$F$18,B47,,,,,$E$11:$E$12,$B$18,,,,,,$A$22:$A$42,$C$22:$C$29,$B$5,$B$6,FALSE),1,192)</f>
      </c>
      <c r="GR47" s="5">
        <f>IFERROR(INDEX(CEA_ROCKET_IAC_SOLVE($A$10:$D$12,C47,$D$16:$D$18,$E$16:$E$16,$F$16:$F$18,B47,,,,,$E$11:$E$12,$B$18,,,,,,$A$22:$A$22,$C$22:$C$29,$B$5,$B$6,FALSE),1,13),"")</f>
      </c>
      <c r="GS47" s="5">
        <f>IFERROR(INDEX(CEA_ROCKET_IAC_SOLVE($A$10:$D$12,C47,$D$16:$D$18,$E$16:$E$16,$F$16:$F$18,B47,,,,,$E$11:$E$12,$B$18,,,,,,$A$22:$A$22,$C$22:$C$29,$B$5,$B$6,FALSE),1,14),"")</f>
      </c>
      <c r="GT47" s="5">
        <f>IFERROR(INDEX(CEA_ROCKET_IAC_SOLVE($A$10:$D$12,C47,$D$16:$D$18,$E$16:$E$16,$F$16:$F$18,B47,,,,,$E$11:$E$12,$B$18,,,,,,$A$22:$A$22,$C$22:$C$29,$B$5,$B$6,FALSE),1,15),"")</f>
      </c>
      <c r="GU47" s="5">
        <f>IFERROR(INDEX(CEA_ROCKET_IAC_SOLVE($A$10:$D$12,C47,$D$16:$D$18,$E$16:$E$16,$F$16:$F$18,B47,,,,,$E$11:$E$12,$B$18,,,,,,$A$22:$A$22,$C$22:$C$29,$B$5,$B$6,FALSE),1,16),"")</f>
      </c>
      <c r="GV47" s="5">
        <f>IFERROR(INDEX(CEA_ROCKET_IAC_SOLVE($A$10:$D$12,C47,$D$16:$D$18,$E$16:$E$16,$F$16:$F$18,B47,,,,,$E$11:$E$12,$B$18,,,,,,$A$22:$A$22,$C$22:$C$29,$B$5,$B$6,FALSE),1,17),"")</f>
      </c>
      <c r="GW47" s="5">
        <f>IFERROR(INDEX(CEA_ROCKET_IAC_SOLVE($A$10:$D$12,C47,$D$16:$D$18,$E$16:$E$16,$F$16:$F$18,B47,,,,,$E$11:$E$12,$B$18,,,,,,$A$22:$A$22,$C$22:$C$29,$B$5,$B$6,FALSE),1,18),"")</f>
      </c>
      <c r="GX47" s="5">
        <f>IFERROR(INDEX(CEA_ROCKET_IAC_SOLVE($A$10:$D$12,C47,$D$16:$D$18,$E$16:$E$16,$F$16:$F$18,B47,,,,,$E$11:$E$12,$B$18,,,,,,$A$22:$A$22,$C$22:$C$29,$B$5,$B$6,FALSE),1,19),"")</f>
      </c>
      <c r="GY47" s="5">
        <f>IFERROR(INDEX(CEA_ROCKET_IAC_SOLVE($A$10:$D$12,C47,$D$16:$D$18,$E$16:$E$16,$F$16:$F$18,B47,,,,,$E$11:$E$12,$B$18,,,,,,$A$22:$A$22,$C$22:$C$29,$B$5,$B$6,FALSE),1,20),"")</f>
      </c>
      <c r="GZ47" s="5">
        <f>IFERROR(INDEX(CEA_ROCKET_IAC_SOLVE($A$10:$D$12,C47,$D$16:$D$18,$E$16:$E$16,$F$16:$F$18,B47,,,,,$E$11:$E$12,$B$18,,,,,,$A$22:$A$22,$C$22:$C$29,$B$5,$B$6,FALSE),1,21),"")</f>
      </c>
      <c r="HA47" s="5">
        <f>IFERROR(INDEX(CEA_ROCKET_IAC_SOLVE($A$10:$D$12,C47,$D$16:$D$18,$E$16:$E$16,$F$16:$F$18,B47,,,,,$E$11:$E$12,$B$18,,,,,,$A$22:$A$22,$C$22:$C$29,$B$5,$B$6,FALSE),1,22),"")</f>
      </c>
      <c r="HB47" s="5">
        <f>IFERROR(INDEX(CEA_ROCKET_IAC_SOLVE($A$10:$D$12,C47,$D$16:$D$18,$E$16:$E$16,$F$16:$F$18,B47,,,,,$E$11:$E$12,$B$18,,,,,,$A$22:$A$22,$C$22:$C$29,$B$5,$B$6,FALSE),1,23),"")</f>
      </c>
      <c r="HC47" s="5">
        <f>IFERROR(INDEX(CEA_ROCKET_IAC_SOLVE($A$10:$D$12,C47,$D$16:$D$18,$E$16:$E$16,$F$16:$F$18,B47,,,,,$E$11:$E$12,$B$18,,,,,,$A$22:$A$22,$C$22:$C$29,$B$5,$B$6,FALSE),1,24),"")</f>
      </c>
      <c r="HD47" s="5">
        <f>IFERROR(INDEX(CEA_ROCKET_IAC_SOLVE($A$10:$D$12,C47,$D$16:$D$18,$E$16:$E$16,$F$16:$F$18,B47,,,,,$E$11:$E$12,$B$18,,,,,,$A$22:$A$22,$C$22:$C$29,$B$5,$B$6,FALSE),1,25),"")</f>
      </c>
      <c r="HE47" s="5">
        <f>IFERROR(INDEX(CEA_ROCKET_IAC_SOLVE($A$10:$D$12,C47,$D$16:$D$18,$E$16:$E$16,$F$16:$F$18,B47,,,,,$E$11:$E$12,$B$18,,,,,,$A$22:$A$22,$C$22:$C$29,$B$5,$B$6,FALSE),1,26),"")</f>
      </c>
      <c r="HF47" s="5">
        <f>IFERROR(INDEX(CEA_ROCKET_IAC_SOLVE($A$10:$D$12,C47,$D$16:$D$18,$E$16:$E$16,$F$16:$F$18,B47,,,,,$E$11:$E$12,$B$18,,,,,,$A$22:$A$22,$C$22:$C$29,$B$5,$B$6,FALSE),1,27),"")</f>
      </c>
      <c r="HG47" s="5">
        <f>IFERROR(INDEX(CEA_ROCKET_IAC_SOLVE($A$10:$D$12,C47,$D$16:$D$18,$E$16:$E$16,$F$16:$F$18,B47,,,,,$E$11:$E$12,$B$18,,,,,,$A$22:$A$22,$C$22:$C$29,$B$5,$B$6,FALSE),1,28),"")</f>
      </c>
      <c r="HH47" s="5">
        <f>IFERROR(INDEX(CEA_ROCKET_IAC_SOLVE($A$10:$D$12,C47,$D$16:$D$18,$E$16:$E$16,$F$16:$F$18,B47,,,,,$E$11:$E$12,$B$18,,,,,,$A$22:$A$22,$C$22:$C$29,$B$5,$B$6,FALSE),1,29),"")</f>
      </c>
      <c r="HI47" s="5">
        <f>IFERROR(INDEX(CEA_ROCKET_IAC_SOLVE($A$10:$D$12,C47,$D$16:$D$18,$E$16:$E$16,$F$16:$F$18,B47,,,,,$E$11:$E$12,$B$18,,,,,,$A$22:$A$22,$C$22:$C$29,$B$5,$B$6,FALSE),1,30),"")</f>
      </c>
      <c r="HJ47" s="5">
        <f>IFERROR(INDEX(CEA_ROCKET_IAC_SOLVE($A$10:$D$12,C47,$D$16:$D$18,$E$16:$E$16,$F$16:$F$18,B47,,,,,$E$11:$E$12,$B$18,,,,,,$A$22:$A$22,$C$22:$C$29,$B$5,$B$6,FALSE),1,31),"")</f>
      </c>
      <c r="HK47" s="5">
        <f>IFERROR(INDEX(CEA_ROCKET_IAC_SOLVE($A$10:$D$12,C47,$D$16:$D$18,$E$16:$E$16,$F$16:$F$18,B47,,,,,$E$11:$E$12,$B$18,,,,,,$A$22:$A$22,$C$22:$C$29,$B$5,$B$6,FALSE),1,32),"")</f>
      </c>
      <c r="HL47" s="5">
        <f>IFERROR(INDEX(CEA_ROCKET_IAC_SOLVE($A$10:$D$12,C47,$D$16:$D$18,$E$16:$E$16,$F$16:$F$18,B47,,,,,$E$11:$E$12,$B$18,,,,,,$A$22:$A$22,$C$22:$C$29,$B$5,$B$6,FALSE),1,33),"")</f>
      </c>
      <c r="HM47" s="5">
        <f>IFERROR(INDEX(CEA_ROCKET_IAC_SOLVE($A$10:$D$12,C47,$D$16:$D$18,$E$16:$E$16,$F$16:$F$18,B47,,,,,$E$11:$E$12,$B$18,,,,,,$A$22:$A$22,$C$22:$C$29,$B$5,$B$6,FALSE),1,34),"")</f>
      </c>
      <c r="HN47" s="5">
        <f>IFERROR(INDEX(CEA_ROCKET_IAC_SOLVE($A$10:$D$12,C47,$D$16:$D$18,$E$16:$E$16,$F$16:$F$18,B47,,,,,$E$11:$E$12,$B$18,,,,,,$A$22:$A$22,$C$22:$C$29,$B$5,$B$6,FALSE),1,35),"")</f>
      </c>
      <c r="HO47" s="5">
        <f>IFERROR(INDEX(CEA_ROCKET_IAC_SOLVE($A$10:$D$12,C47,$D$16:$D$18,$E$16:$E$16,$F$16:$F$18,B47,,,,,$E$11:$E$12,$B$18,,,,,,$A$22:$A$22,$C$22:$C$29,$B$5,$B$6,FALSE),1,36),"")</f>
      </c>
      <c r="HP47" s="5">
        <f>IFERROR(INDEX(CEA_ROCKET_IAC_SOLVE($A$10:$D$12,C47,$D$16:$D$18,$E$16:$E$16,$F$16:$F$18,B47,,,,,$E$11:$E$12,$B$18,,,,,,$A$22:$A$22,$C$22:$C$29,$B$5,$B$6,FALSE),1,37),"")</f>
      </c>
      <c r="HQ47" s="5">
        <f>IFERROR(INDEX(CEA_ROCKET_IAC_SOLVE($A$10:$D$12,C47,$D$16:$D$18,$E$16:$E$16,$F$16:$F$18,B47,,,,,$E$11:$E$12,$B$18,,,,,,$A$22:$A$22,$C$22:$C$29,$B$5,$B$6,FALSE),1,38),"")</f>
      </c>
      <c r="HR47" s="5">
        <f>IFERROR(INDEX(CEA_ROCKET_IAC_SOLVE($A$10:$D$12,C47,$D$16:$D$18,$E$16:$E$16,$F$16:$F$18,B47,,,,,$E$11:$E$12,$B$18,,,,,,$A$22:$A$22,$C$22:$C$29,$B$5,$B$6,FALSE),1,39),"")</f>
      </c>
      <c r="HS47" s="5">
        <f>IFERROR(INDEX(CEA_ROCKET_IAC_SOLVE($A$10:$D$12,C47,$D$16:$D$18,$E$16:$E$16,$F$16:$F$18,B47,,,,,$E$11:$E$12,$B$18,,,,,,$A$22:$A$22,$C$22:$C$29,$B$5,$B$6,FALSE),1,40),"")</f>
      </c>
      <c r="HT47" s="5">
        <f>IFERROR(INDEX(CEA_ROCKET_IAC_SOLVE($A$10:$D$12,C47,$D$16:$D$18,$E$16:$E$16,$F$16:$F$18,B47,,,,,$E$11:$E$12,$B$18,,,,,,$A$22:$A$22,$C$22:$C$29,$B$5,$B$6,FALSE),1,41),"")</f>
      </c>
      <c r="HU47" s="5">
        <f>IFERROR(INDEX(CEA_ROCKET_IAC_SOLVE($A$10:$D$12,C47,$D$16:$D$18,$E$16:$E$16,$F$16:$F$18,B47,,,,,$E$11:$E$12,$B$18,,,,,,$A$22:$A$22,$C$22:$C$29,$B$5,$B$6,FALSE),1,42),"")</f>
      </c>
      <c r="HV47" s="5">
        <f>IFERROR(INDEX(CEA_ROCKET_IAC_SOLVE($A$10:$D$12,C47,$D$16:$D$18,$E$16:$E$16,$F$16:$F$18,B47,,,,,$E$11:$E$12,$B$18,,,,,,$A$22:$A$22,$C$22:$C$29,$B$5,$B$6,FALSE),1,43),"")</f>
      </c>
      <c r="HW47" s="5">
        <f>IFERROR(INDEX(CEA_ROCKET_IAC_SOLVE($A$10:$D$12,C47,$D$16:$D$18,$E$16:$E$16,$F$16:$F$18,B47,,,,,$E$11:$E$12,$B$18,,,,,,$A$22:$A$22,$C$22:$C$29,$B$5,$B$6,FALSE),1,44),"")</f>
      </c>
      <c r="HX47" s="5">
        <f>IFERROR(INDEX(CEA_ROCKET_IAC_SOLVE($A$10:$D$12,C47,$D$16:$D$18,$E$16:$E$16,$F$16:$F$18,B47,,,,,$E$11:$E$12,$B$18,,,,,,$A$22:$A$22,$C$22:$C$29,$B$5,$B$6,FALSE),1,45),"")</f>
      </c>
      <c r="HY47" s="5">
        <f>IFERROR(INDEX(CEA_ROCKET_IAC_SOLVE($A$10:$D$12,C47,$D$16:$D$18,$E$16:$E$16,$F$16:$F$18,B47,,,,,$E$11:$E$12,$B$18,,,,,,$A$22:$A$22,$C$22:$C$29,$B$5,$B$6,FALSE),1,46),"")</f>
      </c>
      <c r="HZ47" s="5">
        <f>IFERROR(INDEX(CEA_ROCKET_IAC_SOLVE($A$10:$D$12,C47,$D$16:$D$18,$E$16:$E$16,$F$16:$F$18,B47,,,,,$E$11:$E$12,$B$18,,,,,,$A$22:$A$22,$C$22:$C$29,$B$5,$B$6,FALSE),1,47),"")</f>
      </c>
      <c r="IA47" s="5">
        <f>IFERROR(INDEX(CEA_ROCKET_IAC_SOLVE($A$10:$D$12,C47,$D$16:$D$18,$E$16:$E$16,$F$16:$F$18,B47,,,,,$E$11:$E$12,$B$18,,,,,,$A$22:$A$22,$C$22:$C$29,$B$5,$B$6,FALSE),1,48),"")</f>
      </c>
      <c r="IB47" s="5">
        <f>IFERROR(INDEX(CEA_ROCKET_IAC_SOLVE($A$10:$D$12,C47,$D$16:$D$18,$E$16:$E$16,$F$16:$F$18,B47,,,,,$E$11:$E$12,$B$18,,,,,,$A$22:$A$22,$C$22:$C$29,$B$5,$B$6,FALSE),1,49),"")</f>
      </c>
      <c r="IC47" s="5">
        <f>IFERROR(INDEX(CEA_ROCKET_IAC_SOLVE($A$10:$D$12,C47,$D$16:$D$18,$E$16:$E$16,$F$16:$F$18,B47,,,,,$E$11:$E$12,$B$18,,,,,,$A$22:$A$22,$C$22:$C$29,$B$5,$B$6,FALSE),1,50),"")</f>
      </c>
      <c r="ID47" s="5">
        <f>IFERROR(INDEX(CEA_ROCKET_IAC_SOLVE($A$10:$D$12,C47,$D$16:$D$18,$E$16:$E$16,$F$16:$F$18,B47,,,,,$E$11:$E$12,$B$18,,,,,,$A$22:$A$22,$C$22:$C$29,$B$5,$B$6,FALSE),1,51),"")</f>
      </c>
      <c r="IE47" s="5">
        <f>IFERROR(INDEX(CEA_ROCKET_IAC_SOLVE($A$10:$D$12,C47,$D$16:$D$18,$E$16:$E$16,$F$16:$F$18,B47,,,,,$E$11:$E$12,$B$18,,,,,,$A$22:$A$22,$C$22:$C$29,$B$5,$B$6,FALSE),1,52),"")</f>
      </c>
      <c r="IF47" s="5">
        <f>IFERROR(INDEX(CEA_ROCKET_IAC_SOLVE($A$10:$D$12,C47,$D$16:$D$18,$E$16:$E$16,$F$16:$F$18,B47,,,,,$E$11:$E$12,$B$18,,,,,,$A$22:$A$22,$C$22:$C$29,$B$5,$B$6,FALSE),1,53),"")</f>
      </c>
      <c r="IG47" s="5">
        <f>IFERROR(INDEX(CEA_ROCKET_IAC_SOLVE($A$10:$D$12,C47,$D$16:$D$18,$E$16:$E$16,$F$16:$F$18,B47,,,,,$E$11:$E$12,$B$18,,,,,,$A$22:$A$22,$C$22:$C$29,$B$5,$B$6,FALSE),1,54),"")</f>
      </c>
      <c r="IH47" s="5">
        <f>IFERROR(INDEX(CEA_ROCKET_IAC_SOLVE($A$10:$D$12,C47,$D$16:$D$18,$E$16:$E$16,$F$16:$F$18,B47,,,,,$E$11:$E$12,$B$18,,,,,,$A$22:$A$22,$C$22:$C$29,$B$5,$B$6,FALSE),1,55),"")</f>
      </c>
      <c r="II47" s="5">
        <f>IFERROR(INDEX(CEA_ROCKET_IAC_SOLVE($A$10:$D$12,C47,$D$16:$D$18,$E$16:$E$16,$F$16:$F$18,B47,,,,,$E$11:$E$12,$B$18,,,,,,$A$22:$A$22,$C$22:$C$29,$B$5,$B$6,FALSE),1,56),"")</f>
      </c>
      <c r="IJ47" s="5">
        <f>IFERROR(INDEX(CEA_ROCKET_IAC_SOLVE($A$10:$D$12,C47,$D$16:$D$18,$E$16:$E$16,$F$16:$F$18,B47,,,,,$E$11:$E$12,$B$18,,,,,,$A$22:$A$22,$C$22:$C$29,$B$5,$B$6,FALSE),1,57),"")</f>
      </c>
      <c r="IK47" s="5">
        <f>IFERROR(INDEX(CEA_ROCKET_IAC_SOLVE($A$10:$D$12,C47,$D$16:$D$18,$E$16:$E$16,$F$16:$F$18,B47,,,,,$E$11:$E$12,$B$18,,,,,,$A$22:$A$22,$C$22:$C$29,$B$5,$B$6,FALSE),1,58),"")</f>
      </c>
      <c r="IL47" s="5">
        <f>IFERROR(INDEX(CEA_ROCKET_IAC_SOLVE($A$10:$D$12,C47,$D$16:$D$18,$E$16:$E$16,$F$16:$F$18,B47,,,,,$E$11:$E$12,$B$18,,,,,,$A$22:$A$22,$C$22:$C$29,$B$5,$B$6,FALSE),1,59),"")</f>
      </c>
      <c r="IM47" s="5">
        <f>IFERROR(INDEX(CEA_ROCKET_IAC_SOLVE($A$10:$D$12,C47,$D$16:$D$18,$E$16:$E$16,$F$16:$F$18,B47,,,,,$E$11:$E$12,$B$18,,,,,,$A$22:$A$22,$C$22:$C$29,$B$5,$B$6,FALSE),1,60),"")</f>
      </c>
      <c r="IN47" s="5">
        <f>IFERROR(INDEX(CEA_ROCKET_IAC_SOLVE($A$10:$D$12,C47,$D$16:$D$18,$E$16:$E$16,$F$16:$F$18,B47,,,,,$E$11:$E$12,$B$18,,,,,,$A$22:$A$22,$C$22:$C$29,$B$5,$B$6,FALSE),1,61),"")</f>
      </c>
      <c r="IO47" s="5">
        <f>IFERROR(INDEX(CEA_ROCKET_IAC_SOLVE($A$10:$D$12,C47,$D$16:$D$18,$E$16:$E$16,$F$16:$F$18,B47,,,,,$E$11:$E$12,$B$18,,,,,,$A$22:$A$22,$C$22:$C$29,$B$5,$B$6,FALSE),1,62),"")</f>
      </c>
      <c r="IP47" s="5">
        <f>IFERROR(INDEX(CEA_ROCKET_IAC_SOLVE($A$10:$D$12,C47,$D$16:$D$18,$E$16:$E$16,$F$16:$F$18,B47,,,,,$E$11:$E$12,$B$18,,,,,,$A$22:$A$22,$C$22:$C$29,$B$5,$B$6,FALSE),1,63),"")</f>
      </c>
      <c r="IQ47" s="5">
        <f>IFERROR(INDEX(CEA_ROCKET_IAC_SOLVE($A$10:$D$12,C47,$D$16:$D$18,$E$16:$E$16,$F$16:$F$18,B47,,,,,$E$11:$E$12,$B$18,,,,,,$A$22:$A$22,$C$22:$C$29,$B$5,$B$6,FALSE),1,64),"")</f>
      </c>
      <c r="IR47" s="5">
        <f>IFERROR(INDEX(CEA_ROCKET_IAC_SOLVE($A$10:$D$12,C47,$D$16:$D$18,$E$16:$E$16,$F$16:$F$18,B47,,,,,$E$11:$E$12,$B$18,,,,,,$A$22:$A$22,$C$22:$C$29,$B$5,$B$6,FALSE),1,65),"")</f>
      </c>
      <c r="IS47" s="5">
        <f>IFERROR(INDEX(CEA_ROCKET_IAC_SOLVE($A$10:$D$12,C47,$D$16:$D$18,$E$16:$E$16,$F$16:$F$18,B47,,,,,$E$11:$E$12,$B$18,,,,,,$A$22:$A$22,$C$22:$C$29,$B$5,$B$6,FALSE),1,66),"")</f>
      </c>
      <c r="IT47" s="5">
        <f>IFERROR(INDEX(CEA_ROCKET_IAC_SOLVE($A$10:$D$12,C47,$D$16:$D$18,$E$16:$E$16,$F$16:$F$18,B47,,,,,$E$11:$E$12,$B$18,,,,,,$A$22:$A$22,$C$22:$C$29,$B$5,$B$6,FALSE),1,67),"")</f>
      </c>
      <c r="IU47" s="5">
        <f>IFERROR(INDEX(CEA_ROCKET_IAC_SOLVE($A$10:$D$12,C47,$D$16:$D$18,$E$16:$E$16,$F$16:$F$18,B47,,,,,$E$11:$E$12,$B$18,,,,,,$A$22:$A$22,$C$22:$C$29,$B$5,$B$6,FALSE),1,68),"")</f>
      </c>
      <c r="IV47" s="5">
        <f>IFERROR(INDEX(CEA_ROCKET_IAC_SOLVE($A$10:$D$12,C47,$D$16:$D$18,$E$16:$E$16,$F$16:$F$18,B47,,,,,$E$11:$E$12,$B$18,,,,,,$A$22:$A$22,$C$22:$C$29,$B$5,$B$6,FALSE),1,69),"")</f>
      </c>
      <c r="IW47" s="5">
        <f>IFERROR(INDEX(CEA_ROCKET_IAC_SOLVE($A$10:$D$12,C47,$D$16:$D$18,$E$16:$E$16,$F$16:$F$18,B47,,,,,$E$11:$E$12,$B$18,,,,,,$A$22:$A$22,$C$22:$C$29,$B$5,$B$6,FALSE),1,70),"")</f>
      </c>
      <c r="IX47" s="5">
        <f>IFERROR(INDEX(CEA_ROCKET_IAC_SOLVE($A$10:$D$12,C47,$D$16:$D$18,$E$16:$E$16,$F$16:$F$18,B47,,,,,$E$11:$E$12,$B$18,,,,,,$A$22:$A$22,$C$22:$C$29,$B$5,$B$6,FALSE),1,71),"")</f>
      </c>
      <c r="IY47" s="5">
        <f>IFERROR(INDEX(CEA_ROCKET_IAC_SOLVE($A$10:$D$12,C47,$D$16:$D$18,$E$16:$E$16,$F$16:$F$18,B47,,,,,$E$11:$E$12,$B$18,,,,,,$A$22:$A$22,$C$22:$C$29,$B$5,$B$6,FALSE),1,72),"")</f>
      </c>
      <c r="IZ47" s="5">
        <f>IFERROR(INDEX(CEA_ROCKET_IAC_SOLVE($A$10:$D$12,C47,$D$16:$D$18,$E$16:$E$16,$F$16:$F$18,B47,,,,,$E$11:$E$12,$B$18,,,,,,$A$22:$A$22,$C$22:$C$29,$B$5,$B$6,FALSE),1,73),"")</f>
      </c>
      <c r="JA47" s="5">
        <f>IFERROR(INDEX(CEA_ROCKET_IAC_SOLVE($A$10:$D$12,C47,$D$16:$D$18,$E$16:$E$16,$F$16:$F$18,B47,,,,,$E$11:$E$12,$B$18,,,,,,$A$22:$A$22,$C$22:$C$29,$B$5,$B$6,FALSE),1,74),"")</f>
      </c>
      <c r="JB47" s="5">
        <f>IFERROR(INDEX(CEA_ROCKET_IAC_SOLVE($A$10:$D$12,C47,$D$16:$D$18,$E$16:$E$16,$F$16:$F$18,B47,,,,,$E$11:$E$12,$B$18,,,,,,$A$22:$A$22,$C$22:$C$29,$B$5,$B$6,FALSE),1,75),"")</f>
      </c>
      <c r="JC47" s="5">
        <f>IFERROR(INDEX(CEA_ROCKET_IAC_SOLVE($A$10:$D$12,C47,$D$16:$D$18,$E$16:$E$16,$F$16:$F$18,B47,,,,,$E$11:$E$12,$B$18,,,,,,$A$22:$A$22,$C$22:$C$29,$B$5,$B$6,FALSE),1,76),"")</f>
      </c>
      <c r="JD47" s="5">
        <f>IFERROR(INDEX(CEA_ROCKET_IAC_SOLVE($A$10:$D$12,C47,$D$16:$D$18,$E$16:$E$16,$F$16:$F$18,B47,,,,,$E$11:$E$12,$B$18,,,,,,$A$22:$A$22,$C$22:$C$29,$B$5,$B$6,FALSE),1,77),"")</f>
      </c>
      <c r="JE47" s="5">
        <f>IFERROR(INDEX(CEA_ROCKET_IAC_SOLVE($A$10:$D$12,C47,$D$16:$D$18,$E$16:$E$16,$F$16:$F$18,B47,,,,,$E$11:$E$12,$B$18,,,,,,$A$22:$A$22,$C$22:$C$29,$B$5,$B$6,FALSE),1,78),"")</f>
      </c>
      <c r="JF47" s="5">
        <f>IFERROR(INDEX(CEA_ROCKET_IAC_SOLVE($A$10:$D$12,C47,$D$16:$D$18,$E$16:$E$16,$F$16:$F$18,B47,,,,,$E$11:$E$12,$B$18,,,,,,$A$22:$A$22,$C$22:$C$29,$B$5,$B$6,FALSE),1,79),"")</f>
      </c>
      <c r="JG47" s="5">
        <f>IFERROR(INDEX(CEA_ROCKET_IAC_SOLVE($A$10:$D$12,C47,$D$16:$D$18,$E$16:$E$16,$F$16:$F$18,B47,,,,,$E$11:$E$12,$B$18,,,,,,$A$22:$A$22,$C$22:$C$29,$B$5,$B$6,FALSE),1,80),"")</f>
      </c>
      <c r="JH47" s="5">
        <f>IFERROR(INDEX(CEA_ROCKET_IAC_SOLVE($A$10:$D$12,C47,$D$16:$D$18,$E$16:$E$16,$F$16:$F$18,B47,,,,,$E$11:$E$12,$B$18,,,,,,$A$22:$A$22,$C$22:$C$29,$B$5,$B$6,FALSE),1,81),"")</f>
      </c>
      <c r="JI47" s="5">
        <f>IFERROR(INDEX(CEA_ROCKET_IAC_SOLVE($A$10:$D$12,C47,$D$16:$D$18,$E$16:$E$16,$F$16:$F$18,B47,,,,,$E$11:$E$12,$B$18,,,,,,$A$22:$A$22,$C$22:$C$29,$B$5,$B$6,FALSE),1,82),"")</f>
      </c>
      <c r="JJ47" s="5">
        <f>IFERROR(INDEX(CEA_ROCKET_IAC_SOLVE($A$10:$D$12,C47,$D$16:$D$18,$E$16:$E$16,$F$16:$F$18,B47,,,,,$E$11:$E$12,$B$18,,,,,,$A$22:$A$22,$C$22:$C$29,$B$5,$B$6,FALSE),1,83),"")</f>
      </c>
      <c r="JK47" s="5">
        <f>IFERROR(INDEX(CEA_ROCKET_IAC_SOLVE($A$10:$D$12,C47,$D$16:$D$18,$E$16:$E$16,$F$16:$F$18,B47,,,,,$E$11:$E$12,$B$18,,,,,,$A$22:$A$22,$C$22:$C$29,$B$5,$B$6,FALSE),1,84),"")</f>
      </c>
      <c r="JL47" s="5">
        <f>IFERROR(INDEX(CEA_ROCKET_IAC_SOLVE($A$10:$D$12,C47,$D$16:$D$18,$E$16:$E$16,$F$16:$F$18,B47,,,,,$E$11:$E$12,$B$18,,,,,,$A$22:$A$22,$C$22:$C$29,$B$5,$B$6,FALSE),1,85),"")</f>
      </c>
      <c r="JM47" s="5">
        <f>IFERROR(INDEX(CEA_ROCKET_IAC_SOLVE($A$10:$D$12,C47,$D$16:$D$18,$E$16:$E$16,$F$16:$F$18,B47,,,,,$E$11:$E$12,$B$18,,,,,,$A$22:$A$22,$C$22:$C$29,$B$5,$B$6,FALSE),1,86),"")</f>
      </c>
      <c r="JN47" s="5">
        <f>IFERROR(INDEX(CEA_ROCKET_IAC_SOLVE($A$10:$D$12,C47,$D$16:$D$18,$E$16:$E$16,$F$16:$F$18,B47,,,,,$E$11:$E$12,$B$18,,,,,,$A$22:$A$22,$C$22:$C$29,$B$5,$B$6,FALSE),1,87),"")</f>
      </c>
      <c r="JO47" s="5">
        <f>IFERROR(INDEX(CEA_ROCKET_IAC_SOLVE($A$10:$D$12,C47,$D$16:$D$18,$E$16:$E$16,$F$16:$F$18,B47,,,,,$E$11:$E$12,$B$18,,,,,,$A$22:$A$22,$C$22:$C$29,$B$5,$B$6,FALSE),1,88),"")</f>
      </c>
      <c r="JP47" s="5">
        <f>IFERROR(INDEX(CEA_ROCKET_IAC_SOLVE($A$10:$D$12,C47,$D$16:$D$18,$E$16:$E$16,$F$16:$F$18,B47,,,,,$E$11:$E$12,$B$18,,,,,,$A$22:$A$22,$C$22:$C$29,$B$5,$B$6,FALSE),1,89),"")</f>
      </c>
      <c r="JQ47" s="5">
        <f>IFERROR(INDEX(CEA_ROCKET_IAC_SOLVE($A$10:$D$12,C47,$D$16:$D$18,$E$16:$E$16,$F$16:$F$18,B47,,,,,$E$11:$E$12,$B$18,,,,,,$A$22:$A$22,$C$22:$C$29,$B$5,$B$6,FALSE),1,90),"")</f>
      </c>
      <c r="JR47" s="5">
        <f>IFERROR(INDEX(CEA_ROCKET_IAC_SOLVE($A$10:$D$12,C47,$D$16:$D$18,$E$16:$E$16,$F$16:$F$18,B47,,,,,$E$11:$E$12,$B$18,,,,,,$A$22:$A$22,$C$22:$C$29,$B$5,$B$6,FALSE),1,91),"")</f>
      </c>
      <c r="JS47" s="5">
        <f>IFERROR(INDEX(CEA_ROCKET_IAC_SOLVE($A$10:$D$12,C47,$D$16:$D$18,$E$16:$E$16,$F$16:$F$18,B47,,,,,$E$11:$E$12,$B$18,,,,,,$A$22:$A$22,$C$22:$C$29,$B$5,$B$6,FALSE),1,92),"")</f>
      </c>
      <c r="JT47" s="5">
        <f>IFERROR(INDEX(CEA_ROCKET_IAC_SOLVE($A$10:$D$12,C47,$D$16:$D$18,$E$16:$E$16,$F$16:$F$18,B47,,,,,$E$11:$E$12,$B$18,,,,,,$A$22:$A$22,$C$22:$C$29,$B$5,$B$6,FALSE),1,93),"")</f>
      </c>
      <c r="JU47" s="5">
        <f>IFERROR(INDEX(CEA_ROCKET_IAC_SOLVE($A$10:$D$12,C47,$D$16:$D$18,$E$16:$E$16,$F$16:$F$18,B47,,,,,$E$11:$E$12,$B$18,,,,,,$A$22:$A$22,$C$22:$C$29,$B$5,$B$6,FALSE),1,94),"")</f>
      </c>
      <c r="JV47" s="5">
        <f>IFERROR(INDEX(CEA_ROCKET_IAC_SOLVE($A$10:$D$12,C47,$D$16:$D$18,$E$16:$E$16,$F$16:$F$18,B47,,,,,$E$11:$E$12,$B$18,,,,,,$A$22:$A$22,$C$22:$C$29,$B$5,$B$6,FALSE),1,95),"")</f>
      </c>
      <c r="JW47" s="5">
        <f>IFERROR(INDEX(CEA_ROCKET_IAC_SOLVE($A$10:$D$12,C47,$D$16:$D$18,$E$16:$E$16,$F$16:$F$18,B47,,,,,$E$11:$E$12,$B$18,,,,,,$A$22:$A$22,$C$22:$C$29,$B$5,$B$6,FALSE),1,96),"")</f>
      </c>
      <c r="JX47" s="5">
        <f>IFERROR(INDEX(CEA_ROCKET_IAC_SOLVE($A$10:$D$12,C47,$D$16:$D$18,$E$16:$E$16,$F$16:$F$18,B47,,,,,$E$11:$E$12,$B$18,,,,,,$A$22:$A$22,$C$22:$C$29,$B$5,$B$6,FALSE),1,97),"")</f>
      </c>
      <c r="JY47" s="5">
        <f>IFERROR(INDEX(CEA_ROCKET_IAC_SOLVE($A$10:$D$12,C47,$D$16:$D$18,$E$16:$E$16,$F$16:$F$18,B47,,,,,$E$11:$E$12,$B$18,,,,,,$A$22:$A$22,$C$22:$C$29,$B$5,$B$6,FALSE),1,98),"")</f>
      </c>
      <c r="JZ47" s="5">
        <f>IFERROR(INDEX(CEA_ROCKET_IAC_SOLVE($A$10:$D$12,C47,$D$16:$D$18,$E$16:$E$16,$F$16:$F$18,B47,,,,,$E$11:$E$12,$B$18,,,,,,$A$22:$A$22,$C$22:$C$29,$B$5,$B$6,FALSE),1,99),"")</f>
      </c>
      <c r="KA47" s="5">
        <f>IFERROR(INDEX(CEA_ROCKET_IAC_SOLVE($A$10:$D$12,C47,$D$16:$D$18,$E$16:$E$16,$F$16:$F$18,B47,,,,,$E$11:$E$12,$B$18,,,,,,$A$22:$A$22,$C$22:$C$29,$B$5,$B$6,FALSE),1,100),"")</f>
      </c>
      <c r="KB47" s="5">
        <f>IFERROR(INDEX(CEA_ROCKET_IAC_SOLVE($A$10:$D$12,C47,$D$16:$D$18,$E$16:$E$16,$F$16:$F$18,B47,,,,,$E$11:$E$12,$B$18,,,,,,$A$22:$A$22,$C$22:$C$29,$B$5,$B$6,FALSE),1,101),"")</f>
      </c>
      <c r="KC47" s="5">
        <f>IFERROR(INDEX(CEA_ROCKET_IAC_SOLVE($A$10:$D$12,C47,$D$16:$D$18,$E$16:$E$16,$F$16:$F$18,B47,,,,,$E$11:$E$12,$B$18,,,,,,$A$22:$A$22,$C$22:$C$29,$B$5,$B$6,FALSE),1,102),"")</f>
      </c>
      <c r="KD47" s="5">
        <f>IFERROR(INDEX(CEA_ROCKET_IAC_SOLVE($A$10:$D$12,C47,$D$16:$D$18,$E$16:$E$16,$F$16:$F$18,B47,,,,,$E$11:$E$12,$B$18,,,,,,$A$22:$A$22,$C$22:$C$29,$B$5,$B$6,FALSE),1,103),"")</f>
      </c>
      <c r="KE47" s="5">
        <f>IFERROR(INDEX(CEA_ROCKET_IAC_SOLVE($A$10:$D$12,C47,$D$16:$D$18,$E$16:$E$16,$F$16:$F$18,B47,,,,,$E$11:$E$12,$B$18,,,,,,$A$22:$A$22,$C$22:$C$29,$B$5,$B$6,FALSE),1,104),"")</f>
      </c>
      <c r="KF47" s="5">
        <f>IFERROR(INDEX(CEA_ROCKET_IAC_SOLVE($A$10:$D$12,C47,$D$16:$D$18,$E$16:$E$16,$F$16:$F$18,B47,,,,,$E$11:$E$12,$B$18,,,,,,$A$22:$A$22,$C$22:$C$29,$B$5,$B$6,FALSE),1,105),"")</f>
      </c>
      <c r="KG47" s="5">
        <f>IFERROR(INDEX(CEA_ROCKET_IAC_SOLVE($A$10:$D$12,C47,$D$16:$D$18,$E$16:$E$16,$F$16:$F$18,B47,,,,,$E$11:$E$12,$B$18,,,,,,$A$22:$A$22,$C$22:$C$29,$B$5,$B$6,FALSE),1,106),"")</f>
      </c>
      <c r="KH47" s="5">
        <f>IFERROR(INDEX(CEA_ROCKET_IAC_SOLVE($A$10:$D$12,C47,$D$16:$D$18,$E$16:$E$16,$F$16:$F$18,B47,,,,,$E$11:$E$12,$B$18,,,,,,$A$22:$A$22,$C$22:$C$29,$B$5,$B$6,FALSE),1,107),"")</f>
      </c>
      <c r="KI47" s="5">
        <f>IFERROR(INDEX(CEA_ROCKET_IAC_SOLVE($A$10:$D$12,C47,$D$16:$D$18,$E$16:$E$16,$F$16:$F$18,B47,,,,,$E$11:$E$12,$B$18,,,,,,$A$22:$A$22,$C$22:$C$29,$B$5,$B$6,FALSE),1,108),"")</f>
      </c>
      <c r="KJ47" s="5">
        <f>IFERROR(INDEX(CEA_ROCKET_IAC_SOLVE($A$10:$D$12,C47,$D$16:$D$18,$E$16:$E$16,$F$16:$F$18,B47,,,,,$E$11:$E$12,$B$18,,,,,,$A$22:$A$22,$C$22:$C$29,$B$5,$B$6,FALSE),1,109),"")</f>
      </c>
      <c r="KK47" s="5">
        <f>IFERROR(INDEX(CEA_ROCKET_IAC_SOLVE($A$10:$D$12,C47,$D$16:$D$18,$E$16:$E$16,$F$16:$F$18,B47,,,,,$E$11:$E$12,$B$18,,,,,,$A$22:$A$22,$C$22:$C$29,$B$5,$B$6,FALSE),1,110),"")</f>
      </c>
      <c r="KL47" s="5">
        <f>IFERROR(INDEX(CEA_ROCKET_IAC_SOLVE($A$10:$D$12,C47,$D$16:$D$18,$E$16:$E$16,$F$16:$F$18,B47,,,,,$E$11:$E$12,$B$18,,,,,,$A$22:$A$22,$C$22:$C$29,$B$5,$B$6,FALSE),1,111),"")</f>
      </c>
      <c r="KM47" s="5">
        <f>IFERROR(INDEX(CEA_ROCKET_IAC_SOLVE($A$10:$D$12,C47,$D$16:$D$18,$E$16:$E$16,$F$16:$F$18,B47,,,,,$E$11:$E$12,$B$18,,,,,,$A$22:$A$22,$C$22:$C$29,$B$5,$B$6,FALSE),1,112),"")</f>
      </c>
      <c r="KN47" s="5">
        <f>IFERROR(INDEX(CEA_ROCKET_IAC_SOLVE($A$10:$D$12,C47,$D$16:$D$18,$E$16:$E$16,$F$16:$F$18,B47,,,,,$E$11:$E$12,$B$18,,,,,,$A$22:$A$22,$C$22:$C$29,$B$5,$B$6,FALSE),1,113),"")</f>
      </c>
      <c r="KO47" s="5">
        <f>IFERROR(INDEX(CEA_ROCKET_IAC_SOLVE($A$10:$D$12,C47,$D$16:$D$18,$E$16:$E$16,$F$16:$F$18,B47,,,,,$E$11:$E$12,$B$18,,,,,,$A$22:$A$22,$C$22:$C$29,$B$5,$B$6,FALSE),1,114),"")</f>
      </c>
      <c r="KP47" s="5">
        <f>IFERROR(INDEX(CEA_ROCKET_IAC_SOLVE($A$10:$D$12,C47,$D$16:$D$18,$E$16:$E$16,$F$16:$F$18,B47,,,,,$E$11:$E$12,$B$18,,,,,,$A$22:$A$22,$C$22:$C$29,$B$5,$B$6,FALSE),1,115),"")</f>
      </c>
      <c r="KQ47" s="5">
        <f>IFERROR(INDEX(CEA_ROCKET_IAC_SOLVE($A$10:$D$12,C47,$D$16:$D$18,$E$16:$E$16,$F$16:$F$18,B47,,,,,$E$11:$E$12,$B$18,,,,,,$A$22:$A$22,$C$22:$C$29,$B$5,$B$6,FALSE),1,116),"")</f>
      </c>
      <c r="KR47" s="5">
        <f>IFERROR(INDEX(CEA_ROCKET_IAC_SOLVE($A$10:$D$12,C47,$D$16:$D$18,$E$16:$E$16,$F$16:$F$18,B47,,,,,$E$11:$E$12,$B$18,,,,,,$A$22:$A$22,$C$22:$C$29,$B$5,$B$6,FALSE),1,117),"")</f>
      </c>
      <c r="KS47" s="5">
        <f>IFERROR(INDEX(CEA_ROCKET_IAC_SOLVE($A$10:$D$12,C47,$D$16:$D$18,$E$16:$E$16,$F$16:$F$18,B47,,,,,$E$11:$E$12,$B$18,,,,,,$A$22:$A$22,$C$22:$C$29,$B$5,$B$6,FALSE),1,118),"")</f>
      </c>
      <c r="KT47" s="5">
        <f>IFERROR(INDEX(CEA_ROCKET_IAC_SOLVE($A$10:$D$12,C47,$D$16:$D$18,$E$16:$E$16,$F$16:$F$18,B47,,,,,$E$11:$E$12,$B$18,,,,,,$A$22:$A$22,$C$22:$C$29,$B$5,$B$6,FALSE),1,119),"")</f>
      </c>
      <c r="KU47" s="5">
        <f>IFERROR(INDEX(CEA_ROCKET_IAC_SOLVE($A$10:$D$12,C47,$D$16:$D$18,$E$16:$E$16,$F$16:$F$18,B47,,,,,$E$11:$E$12,$B$18,,,,,,$A$22:$A$22,$C$22:$C$29,$B$5,$B$6,FALSE),1,120),"")</f>
      </c>
      <c r="KV47" s="5">
        <f>IFERROR(INDEX(CEA_ROCKET_IAC_SOLVE($A$10:$D$12,C47,$D$16:$D$18,$E$16:$E$16,$F$16:$F$18,B47,,,,,$E$11:$E$12,$B$18,,,,,,$A$22:$A$22,$C$22:$C$29,$B$5,$B$6,FALSE),1,121),"")</f>
      </c>
      <c r="KW47" s="5">
        <f>IFERROR(INDEX(CEA_ROCKET_IAC_SOLVE($A$10:$D$12,C47,$D$16:$D$18,$E$16:$E$16,$F$16:$F$18,B47,,,,,$E$11:$E$12,$B$18,,,,,,$A$22:$A$22,$C$22:$C$29,$B$5,$B$6,FALSE),1,122),"")</f>
      </c>
      <c r="KX47" s="5">
        <f>IFERROR(INDEX(CEA_ROCKET_IAC_SOLVE($A$10:$D$12,C47,$D$16:$D$18,$E$16:$E$16,$F$16:$F$18,B47,,,,,$E$11:$E$12,$B$18,,,,,,$A$22:$A$22,$C$22:$C$29,$B$5,$B$6,FALSE),1,123),"")</f>
      </c>
      <c r="KY47" s="5">
        <f>IFERROR(INDEX(CEA_ROCKET_IAC_SOLVE($A$10:$D$12,C47,$D$16:$D$18,$E$16:$E$16,$F$16:$F$18,B47,,,,,$E$11:$E$12,$B$18,,,,,,$A$22:$A$22,$C$22:$C$29,$B$5,$B$6,FALSE),1,124),"")</f>
      </c>
      <c r="KZ47" s="5">
        <f>IFERROR(INDEX(CEA_ROCKET_IAC_SOLVE($A$10:$D$12,C47,$D$16:$D$18,$E$16:$E$16,$F$16:$F$18,B47,,,,,$E$11:$E$12,$B$18,,,,,,$A$22:$A$22,$C$22:$C$29,$B$5,$B$6,FALSE),1,125),"")</f>
      </c>
      <c r="LA47" s="5">
        <f>IFERROR(INDEX(CEA_ROCKET_IAC_SOLVE($A$10:$D$12,C47,$D$16:$D$18,$E$16:$E$16,$F$16:$F$18,B47,,,,,$E$11:$E$12,$B$18,,,,,,$A$22:$A$22,$C$22:$C$29,$B$5,$B$6,FALSE),1,126),"")</f>
      </c>
      <c r="LB47" s="5">
        <f>IFERROR(INDEX(CEA_ROCKET_IAC_SOLVE($A$10:$D$12,C47,$D$16:$D$18,$E$16:$E$16,$F$16:$F$18,B47,,,,,$E$11:$E$12,$B$18,,,,,,$A$22:$A$22,$C$22:$C$29,$B$5,$B$6,FALSE),1,127),"")</f>
      </c>
      <c r="LC47" s="5">
        <f>IFERROR(INDEX(CEA_ROCKET_IAC_SOLVE($A$10:$D$12,C47,$D$16:$D$18,$E$16:$E$16,$F$16:$F$18,B47,,,,,$E$11:$E$12,$B$18,,,,,,$A$22:$A$22,$C$22:$C$29,$B$5,$B$6,FALSE),1,128),"")</f>
      </c>
      <c r="LD47" s="5">
        <f>IFERROR(INDEX(CEA_ROCKET_IAC_SOLVE($A$10:$D$12,C47,$D$16:$D$18,$E$16:$E$16,$F$16:$F$18,B47,,,,,$E$11:$E$12,$B$18,,,,,,$A$22:$A$22,$C$22:$C$29,$B$5,$B$6,FALSE),1,129),"")</f>
      </c>
      <c r="LE47" s="5">
        <f>IFERROR(INDEX(CEA_ROCKET_IAC_SOLVE($A$10:$D$12,C47,$D$16:$D$18,$E$16:$E$16,$F$16:$F$18,B47,,,,,$E$11:$E$12,$B$18,,,,,,$A$22:$A$22,$C$22:$C$29,$B$5,$B$6,FALSE),1,130),"")</f>
      </c>
      <c r="LF47" s="5">
        <f>IFERROR(INDEX(CEA_ROCKET_IAC_SOLVE($A$10:$D$12,C47,$D$16:$D$18,$E$16:$E$16,$F$16:$F$18,B47,,,,,$E$11:$E$12,$B$18,,,,,,$A$22:$A$22,$C$22:$C$29,$B$5,$B$6,FALSE),1,131),"")</f>
      </c>
      <c r="LG47" s="5">
        <f>IFERROR(INDEX(CEA_ROCKET_IAC_SOLVE($A$10:$D$12,C47,$D$16:$D$18,$E$16:$E$16,$F$16:$F$18,B47,,,,,$E$11:$E$12,$B$18,,,,,,$A$22:$A$22,$C$22:$C$29,$B$5,$B$6,FALSE),1,132),"")</f>
      </c>
      <c r="LH47" s="5">
        <f>IFERROR(INDEX(CEA_ROCKET_IAC_SOLVE($A$10:$D$12,C47,$D$16:$D$18,$E$16:$E$16,$F$16:$F$18,B47,,,,,$E$11:$E$12,$B$18,,,,,,$A$22:$A$22,$C$22:$C$29,$B$5,$B$6,FALSE),1,133),"")</f>
      </c>
      <c r="LI47" s="5">
        <f>IFERROR(INDEX(CEA_ROCKET_IAC_SOLVE($A$10:$D$12,C47,$D$16:$D$18,$E$16:$E$16,$F$16:$F$18,B47,,,,,$E$11:$E$12,$B$18,,,,,,$A$22:$A$22,$C$22:$C$29,$B$5,$B$6,FALSE),1,134),"")</f>
      </c>
      <c r="LJ47" s="5">
        <f>IFERROR(INDEX(CEA_ROCKET_IAC_SOLVE($A$10:$D$12,C47,$D$16:$D$18,$E$16:$E$16,$F$16:$F$18,B47,,,,,$E$11:$E$12,$B$18,,,,,,$A$22:$A$22,$C$22:$C$29,$B$5,$B$6,FALSE),1,135),"")</f>
      </c>
      <c r="LK47" s="5">
        <f>IFERROR(INDEX(CEA_ROCKET_IAC_SOLVE($A$10:$D$12,C47,$D$16:$D$18,$E$16:$E$16,$F$16:$F$18,B47,,,,,$E$11:$E$12,$B$18,,,,,,$A$22:$A$22,$C$22:$C$29,$B$5,$B$6,FALSE),1,136),"")</f>
      </c>
      <c r="LL47" s="5">
        <f>IFERROR(INDEX(CEA_ROCKET_IAC_SOLVE($A$10:$D$12,C47,$D$16:$D$18,$E$16:$E$16,$F$16:$F$18,B47,,,,,$E$11:$E$12,$B$18,,,,,,$A$22:$A$22,$C$22:$C$29,$B$5,$B$6,FALSE),1,137),"")</f>
      </c>
      <c r="LM47" s="5">
        <f>IFERROR(INDEX(CEA_ROCKET_IAC_SOLVE($A$10:$D$12,C47,$D$16:$D$18,$E$16:$E$16,$F$16:$F$18,B47,,,,,$E$11:$E$12,$B$18,,,,,,$A$22:$A$22,$C$22:$C$29,$B$5,$B$6,FALSE),1,138),"")</f>
      </c>
      <c r="LN47" s="5">
        <f>IFERROR(INDEX(CEA_ROCKET_IAC_SOLVE($A$10:$D$12,C47,$D$16:$D$18,$E$16:$E$16,$F$16:$F$18,B47,,,,,$E$11:$E$12,$B$18,,,,,,$A$22:$A$22,$C$22:$C$29,$B$5,$B$6,FALSE),1,139),"")</f>
      </c>
      <c r="LO47" s="5">
        <f>IFERROR(INDEX(CEA_ROCKET_IAC_SOLVE($A$10:$D$12,C47,$D$16:$D$18,$E$16:$E$16,$F$16:$F$18,B47,,,,,$E$11:$E$12,$B$18,,,,,,$A$22:$A$22,$C$22:$C$29,$B$5,$B$6,FALSE),1,140),"")</f>
      </c>
      <c r="LP47" s="5">
        <f>IFERROR(INDEX(CEA_ROCKET_IAC_SOLVE($A$10:$D$12,C47,$D$16:$D$18,$E$16:$E$16,$F$16:$F$18,B47,,,,,$E$11:$E$12,$B$18,,,,,,$A$22:$A$22,$C$22:$C$29,$B$5,$B$6,FALSE),1,141),"")</f>
      </c>
      <c r="LQ47" s="5">
        <f>IFERROR(INDEX(CEA_ROCKET_IAC_SOLVE($A$10:$D$12,C47,$D$16:$D$18,$E$16:$E$16,$F$16:$F$18,B47,,,,,$E$11:$E$12,$B$18,,,,,,$A$22:$A$22,$C$22:$C$29,$B$5,$B$6,FALSE),1,142),"")</f>
      </c>
      <c r="LR47" s="5">
        <f>IFERROR(INDEX(CEA_ROCKET_IAC_SOLVE($A$10:$D$12,C47,$D$16:$D$18,$E$16:$E$16,$F$16:$F$18,B47,,,,,$E$11:$E$12,$B$18,,,,,,$A$22:$A$22,$C$22:$C$29,$B$5,$B$6,FALSE),1,143),"")</f>
      </c>
      <c r="LS47" s="5">
        <f>IFERROR(INDEX(CEA_ROCKET_IAC_SOLVE($A$10:$D$12,C47,$D$16:$D$18,$E$16:$E$16,$F$16:$F$18,B47,,,,,$E$11:$E$12,$B$18,,,,,,$A$22:$A$22,$C$22:$C$29,$B$5,$B$6,FALSE),1,144),"")</f>
      </c>
      <c r="LT47" s="5">
        <f>IFERROR(INDEX(CEA_ROCKET_IAC_SOLVE($A$10:$D$12,C47,$D$16:$D$18,$E$16:$E$16,$F$16:$F$18,B47,,,,,$E$11:$E$12,$B$18,,,,,,$A$22:$A$22,$C$22:$C$29,$B$5,$B$6,FALSE),1,145),"")</f>
      </c>
      <c r="LU47" s="5">
        <f>IFERROR(INDEX(CEA_ROCKET_IAC_SOLVE($A$10:$D$12,C47,$D$16:$D$18,$E$16:$E$16,$F$16:$F$18,B47,,,,,$E$11:$E$12,$B$18,,,,,,$A$22:$A$22,$C$22:$C$29,$B$5,$B$6,FALSE),1,146),"")</f>
      </c>
      <c r="LV47" s="5">
        <f>IFERROR(INDEX(CEA_ROCKET_IAC_SOLVE($A$10:$D$12,C47,$D$16:$D$18,$E$16:$E$16,$F$16:$F$18,B47,,,,,$E$11:$E$12,$B$18,,,,,,$A$22:$A$22,$C$22:$C$29,$B$5,$B$6,FALSE),1,147),"")</f>
      </c>
      <c r="LW47" s="5">
        <f>IFERROR(INDEX(CEA_ROCKET_IAC_SOLVE($A$10:$D$12,C47,$D$16:$D$18,$E$16:$E$16,$F$16:$F$18,B47,,,,,$E$11:$E$12,$B$18,,,,,,$A$22:$A$22,$C$22:$C$29,$B$5,$B$6,FALSE),1,148),"")</f>
      </c>
      <c r="LX47" s="5">
        <f>IFERROR(INDEX(CEA_ROCKET_IAC_SOLVE($A$10:$D$12,C47,$D$16:$D$18,$E$16:$E$16,$F$16:$F$18,B47,,,,,$E$11:$E$12,$B$18,,,,,,$A$22:$A$22,$C$22:$C$29,$B$5,$B$6,FALSE),1,149),"")</f>
      </c>
      <c r="LY47" s="5">
        <f>IFERROR(INDEX(CEA_ROCKET_IAC_SOLVE($A$10:$D$12,C47,$D$16:$D$18,$E$16:$E$16,$F$16:$F$18,B47,,,,,$E$11:$E$12,$B$18,,,,,,$A$22:$A$22,$C$22:$C$29,$B$5,$B$6,FALSE),1,150),"")</f>
      </c>
      <c r="LZ47" s="5">
        <f>IFERROR(INDEX(CEA_ROCKET_IAC_SOLVE($A$10:$D$12,C47,$D$16:$D$18,$E$16:$E$16,$F$16:$F$18,B47,,,,,$E$11:$E$12,$B$18,,,,,,$A$22:$A$22,$C$22:$C$29,$B$5,$B$6,FALSE),1,151),"")</f>
      </c>
      <c r="MA47" s="5">
        <f>IFERROR(INDEX(CEA_ROCKET_IAC_SOLVE($A$10:$D$12,C47,$D$16:$D$18,$E$16:$E$16,$F$16:$F$18,B47,,,,,$E$11:$E$12,$B$18,,,,,,$A$22:$A$22,$C$22:$C$29,$B$5,$B$6,FALSE),1,152),"")</f>
      </c>
      <c r="MB47" s="5">
        <f>IFERROR(INDEX(CEA_ROCKET_IAC_SOLVE($A$10:$D$12,C47,$D$16:$D$18,$E$16:$E$16,$F$16:$F$18,B47,,,,,$E$11:$E$12,$B$18,,,,,,$A$22:$A$22,$C$22:$C$29,$B$5,$B$6,FALSE),1,153),"")</f>
      </c>
      <c r="MC47" s="5">
        <f>IFERROR(INDEX(CEA_ROCKET_IAC_SOLVE($A$10:$D$12,C47,$D$16:$D$18,$E$16:$E$16,$F$16:$F$18,B47,,,,,$E$11:$E$12,$B$18,,,,,,$A$22:$A$22,$C$22:$C$29,$B$5,$B$6,FALSE),1,154),"")</f>
      </c>
      <c r="MD47" s="5">
        <f>IFERROR(INDEX(CEA_ROCKET_IAC_SOLVE($A$10:$D$12,C47,$D$16:$D$18,$E$16:$E$16,$F$16:$F$18,B47,,,,,$E$11:$E$12,$B$18,,,,,,$A$22:$A$22,$C$22:$C$29,$B$5,$B$6,FALSE),1,155),"")</f>
      </c>
      <c r="ME47" s="5">
        <f>IFERROR(INDEX(CEA_ROCKET_IAC_SOLVE($A$10:$D$12,C47,$D$16:$D$18,$E$16:$E$16,$F$16:$F$18,B47,,,,,$E$11:$E$12,$B$18,,,,,,$A$22:$A$22,$C$22:$C$29,$B$5,$B$6,FALSE),1,156),"")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DY62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s="3"/>
      <c r="B9" s="4"/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s="3">
        <f>INDEX(CEA_SHOCK_SOLVE($A$12:$D$15,C57,D57,B57,,,,,,$E$13:$E$15,$B$5,$B$6,$B$7,,,$A$24:$A$50,$C$24:$C$33,$B$4,$B$8,TRUE),1,1)</f>
      </c>
      <c r="G56" s="3">
        <f>INDEX(CEA_SHOCK_SOLVE($A$12:$D$15,C57,D57,B57,,,,,,$E$13:$E$15,$B$5,$B$6,$B$7,,,$A$24:$A$50,$C$24:$C$33,$B$4,$B$8,TRUE),1,2)</f>
      </c>
      <c r="H56" s="3">
        <f>INDEX(CEA_SHOCK_SOLVE($A$12:$D$15,C57,D57,B57,,,,,,$E$13:$E$15,$B$5,$B$6,$B$7,,,$A$24:$A$50,$C$24:$C$33,$B$4,$B$8,TRUE),1,3)</f>
      </c>
      <c r="I56" s="3">
        <f>INDEX(CEA_SHOCK_SOLVE($A$12:$D$15,C57,D57,B57,,,,,,$E$13:$E$15,$B$5,$B$6,$B$7,,,$A$24:$A$50,$C$24:$C$33,$B$4,$B$8,TRUE),1,4)</f>
      </c>
      <c r="J56" s="3">
        <f>INDEX(CEA_SHOCK_SOLVE($A$12:$D$15,C57,D57,B57,,,,,,$E$13:$E$15,$B$5,$B$6,$B$7,,,$A$24:$A$50,$C$24:$C$33,$B$4,$B$8,TRUE),1,5)</f>
      </c>
      <c r="K56" s="3">
        <f>INDEX(CEA_SHOCK_SOLVE($A$12:$D$15,C57,D57,B57,,,,,,$E$13:$E$15,$B$5,$B$6,$B$7,,,$A$24:$A$50,$C$24:$C$33,$B$4,$B$8,TRUE),1,6)</f>
      </c>
      <c r="L56" s="3">
        <f>INDEX(CEA_SHOCK_SOLVE($A$12:$D$15,C57,D57,B57,,,,,,$E$13:$E$15,$B$5,$B$6,$B$7,,,$A$24:$A$50,$C$24:$C$33,$B$4,$B$8,TRUE),1,7)</f>
      </c>
      <c r="M56" s="3">
        <f>INDEX(CEA_SHOCK_SOLVE($A$12:$D$15,C57,D57,B57,,,,,,$E$13:$E$15,$B$5,$B$6,$B$7,,,$A$24:$A$50,$C$24:$C$33,$B$4,$B$8,TRUE),1,8)</f>
      </c>
      <c r="N56" s="3">
        <f>INDEX(CEA_SHOCK_SOLVE($A$12:$D$15,C57,D57,B57,,,,,,$E$13:$E$15,$B$5,$B$6,$B$7,,,$A$24:$A$50,$C$24:$C$33,$B$4,$B$8,TRUE),1,9)</f>
      </c>
      <c r="O56" s="3">
        <f>INDEX(CEA_SHOCK_SOLVE($A$12:$D$15,C57,D57,B57,,,,,,$E$13:$E$15,$B$5,$B$6,$B$7,,,$A$24:$A$50,$C$24:$C$33,$B$4,$B$8,TRUE),1,10)</f>
      </c>
      <c r="P56" s="3">
        <f>INDEX(CEA_SHOCK_SOLVE($A$12:$D$15,C57,D57,B57,,,,,,$E$13:$E$15,$B$5,$B$6,$B$7,,,$A$24:$A$50,$C$24:$C$33,$B$4,$B$8,TRUE),1,11)</f>
      </c>
      <c r="Q56" s="3">
        <f>INDEX(CEA_SHOCK_SOLVE($A$12:$D$15,C57,D57,B57,,,,,,$E$13:$E$15,$B$5,$B$6,$B$7,,,$A$24:$A$50,$C$24:$C$33,$B$4,$B$8,TRUE),1,12)</f>
      </c>
      <c r="R56" s="3">
        <f>INDEX(CEA_SHOCK_SOLVE($A$12:$D$15,C57,D57,B57,,,,,,$E$13:$E$15,$B$5,$B$6,$B$7,,,$A$24:$A$50,$C$24:$C$33,$B$4,$B$8,TRUE),1,13)</f>
      </c>
      <c r="S56" s="3">
        <f>INDEX(CEA_SHOCK_SOLVE($A$12:$D$15,C57,D57,B57,,,,,,$E$13:$E$15,$B$5,$B$6,$B$7,,,$A$24:$A$50,$C$24:$C$33,$B$4,$B$8,TRUE),1,14)</f>
      </c>
      <c r="T56" s="3">
        <f>INDEX(CEA_SHOCK_SOLVE($A$12:$D$15,C57,D57,B57,,,,,,$E$13:$E$15,$B$5,$B$6,$B$7,,,$A$24:$A$50,$C$24:$C$33,$B$4,$B$8,TRUE),1,15)</f>
      </c>
      <c r="U56" s="3">
        <f>INDEX(CEA_SHOCK_SOLVE($A$12:$D$15,C57,D57,B57,,,,,,$E$13:$E$15,$B$5,$B$6,$B$7,,,$A$24:$A$50,$C$24:$C$33,$B$4,$B$8,TRUE),1,16)</f>
      </c>
      <c r="V56" s="3">
        <f>INDEX(CEA_SHOCK_SOLVE($A$12:$D$15,C57,D57,B57,,,,,,$E$13:$E$15,$B$5,$B$6,$B$7,,,$A$24:$A$50,$C$24:$C$33,$B$4,$B$8,TRUE),1,17)</f>
      </c>
      <c r="W56" s="3">
        <f>INDEX(CEA_SHOCK_SOLVE($A$12:$D$15,C57,D57,B57,,,,,,$E$13:$E$15,$B$5,$B$6,$B$7,,,$A$24:$A$50,$C$24:$C$33,$B$4,$B$8,TRUE),1,18)</f>
      </c>
      <c r="X56" s="3">
        <f>INDEX(CEA_SHOCK_SOLVE($A$12:$D$15,C57,D57,B57,,,,,,$E$13:$E$15,$B$5,$B$6,$B$7,,,$A$24:$A$50,$C$24:$C$33,$B$4,$B$8,TRUE),1,19)</f>
      </c>
      <c r="Y56" s="3">
        <f>INDEX(CEA_SHOCK_SOLVE($A$12:$D$15,C57,D57,B57,,,,,,$E$13:$E$15,$B$5,$B$6,$B$7,,,$A$24:$A$50,$C$24:$C$33,$B$4,$B$8,TRUE),1,20)</f>
      </c>
      <c r="Z56" s="3">
        <f>INDEX(CEA_SHOCK_SOLVE($A$12:$D$15,C57,D57,B57,,,,,,$E$13:$E$15,$B$5,$B$6,$B$7,,,$A$24:$A$50,$C$24:$C$33,$B$4,$B$8,TRUE),1,21)</f>
      </c>
      <c r="AA56" s="3">
        <f>INDEX(CEA_SHOCK_SOLVE($A$12:$D$15,C57,D57,B57,,,,,,$E$13:$E$15,$B$5,$B$6,$B$7,,,$A$24:$A$50,$C$24:$C$33,$B$4,$B$8,TRUE),1,22)</f>
      </c>
      <c r="AB56" s="3">
        <f>INDEX(CEA_SHOCK_SOLVE($A$12:$D$15,C57,D57,B57,,,,,,$E$13:$E$15,$B$5,$B$6,$B$7,,,$A$24:$A$50,$C$24:$C$33,$B$4,$B$8,TRUE),1,23)</f>
      </c>
      <c r="AC56" s="3">
        <f>INDEX(CEA_SHOCK_SOLVE($A$12:$D$15,C57,D57,B57,,,,,,$E$13:$E$15,$B$5,$B$6,$B$7,,,$A$24:$A$50,$C$24:$C$33,$B$4,$B$8,TRUE),1,24)</f>
      </c>
      <c r="AD56" s="3">
        <f>INDEX(CEA_SHOCK_SOLVE($A$12:$D$15,C57,D57,B57,,,,,,$E$13:$E$15,$B$5,$B$6,$B$7,,,$A$24:$A$50,$C$24:$C$33,$B$4,$B$8,TRUE),1,25)</f>
      </c>
      <c r="AE56" s="3">
        <f>INDEX(CEA_SHOCK_SOLVE($A$12:$D$15,C57,D57,B57,,,,,,$E$13:$E$15,$B$5,$B$6,$B$7,,,$A$24:$A$50,$C$24:$C$33,$B$4,$B$8,TRUE),1,26)</f>
      </c>
      <c r="AF56" s="3">
        <f>INDEX(CEA_SHOCK_SOLVE($A$12:$D$15,C57,D57,B57,,,,,,$E$13:$E$15,$B$5,$B$6,$B$7,,,$A$24:$A$50,$C$24:$C$33,$B$4,$B$8,TRUE),1,27)</f>
      </c>
      <c r="AG56" s="3">
        <f>INDEX(CEA_SHOCK_SOLVE($A$12:$D$15,C57,D57,B57,,,,,,$E$13:$E$15,$B$5,$B$6,$B$7,,,$A$24:$A$50,$C$24:$C$33,$B$4,$B$8,TRUE),1,28)</f>
      </c>
      <c r="AH56" s="3">
        <f>INDEX(CEA_SHOCK_SOLVE($A$12:$D$15,C57,D57,B57,,,,,,$E$13:$E$15,$B$5,$B$6,$B$7,,,$A$24:$A$50,$C$24:$C$33,$B$4,$B$8,TRUE),1,29)</f>
      </c>
      <c r="AI56" s="3">
        <f>INDEX(CEA_SHOCK_SOLVE($A$12:$D$15,C57,D57,B57,,,,,,$E$13:$E$15,$B$5,$B$6,$B$7,,,$A$24:$A$50,$C$24:$C$33,$B$4,$B$8,TRUE),1,30)</f>
      </c>
      <c r="AJ56" s="3">
        <f>INDEX(CEA_SHOCK_SOLVE($A$12:$D$15,C57,D57,B57,,,,,,$E$13:$E$15,$B$5,$B$6,$B$7,,,$A$24:$A$50,$C$24:$C$33,$B$4,$B$8,TRUE),1,31)</f>
      </c>
      <c r="AK56" s="3">
        <f>INDEX(CEA_SHOCK_SOLVE($A$12:$D$15,C57,D57,B57,,,,,,$E$13:$E$15,$B$5,$B$6,$B$7,,,$A$24:$A$50,$C$24:$C$33,$B$4,$B$8,TRUE),1,32)</f>
      </c>
      <c r="AL56" s="3">
        <f>INDEX(CEA_SHOCK_SOLVE($A$12:$D$15,C57,D57,B57,,,,,,$E$13:$E$15,$B$5,$B$6,$B$7,,,$A$24:$A$50,$C$24:$C$33,$B$4,$B$8,TRUE),1,33)</f>
      </c>
      <c r="AM56" s="3">
        <f>INDEX(CEA_SHOCK_SOLVE($A$12:$D$15,C57,D57,B57,,,,,,$E$13:$E$15,$B$5,$B$6,$B$7,,,$A$24:$A$50,$C$24:$C$33,$B$4,$B$8,TRUE),1,34)</f>
      </c>
      <c r="AN56" s="3">
        <f>INDEX(CEA_SHOCK_SOLVE($A$12:$D$15,C57,D57,B57,,,,,,$E$13:$E$15,$B$5,$B$6,$B$7,,,$A$24:$A$50,$C$24:$C$33,$B$4,$B$8,TRUE),1,35)</f>
      </c>
      <c r="AO56" s="3">
        <f>INDEX(CEA_SHOCK_SOLVE($A$12:$D$15,C57,D57,B57,,,,,,$E$13:$E$15,$B$5,$B$6,$B$7,,,$A$24:$A$50,$C$24:$C$33,$B$4,$B$8,TRUE),1,36)</f>
      </c>
      <c r="AP56" s="3">
        <f>INDEX(CEA_SHOCK_SOLVE($A$12:$D$15,C57,D57,B57,,,,,,$E$13:$E$15,$B$5,$B$6,$B$7,,,$A$24:$A$50,$C$24:$C$33,$B$4,$B$8,TRUE),1,37)</f>
      </c>
      <c r="AQ56" s="3">
        <f>INDEX(CEA_SHOCK_SOLVE($A$12:$D$15,C57,D57,B57,,,,,,$E$13:$E$15,$B$5,$B$6,$B$7,,,$A$24:$A$50,$C$24:$C$33,$B$4,$B$8,TRUE),1,38)</f>
      </c>
      <c r="AR56" s="3">
        <f>INDEX(CEA_SHOCK_SOLVE($A$12:$D$15,C57,D57,B57,,,,,,$E$13:$E$15,$B$5,$B$6,$B$7,,,$A$24:$A$50,$C$24:$C$33,$B$4,$B$8,TRUE),1,39)</f>
      </c>
      <c r="AS56" s="3">
        <f>INDEX(CEA_SHOCK_SOLVE($A$12:$D$15,C57,D57,B57,,,,,,$E$13:$E$15,$B$5,$B$6,$B$7,,,$A$24:$A$50,$C$24:$C$33,$B$4,$B$8,TRUE),1,40)</f>
      </c>
      <c r="AT56" s="3">
        <f>INDEX(CEA_SHOCK_SOLVE($A$12:$D$15,C57,D57,B57,,,,,,$E$13:$E$15,$B$5,$B$6,$B$7,,,$A$24:$A$50,$C$24:$C$33,$B$4,$B$8,TRUE),1,41)</f>
      </c>
      <c r="AU56" s="3">
        <f>INDEX(CEA_SHOCK_SOLVE($A$12:$D$15,C57,D57,B57,,,,,,$E$13:$E$15,$B$5,$B$6,$B$7,,,$A$24:$A$50,$C$24:$C$33,$B$4,$B$8,TRUE),1,42)</f>
      </c>
      <c r="AV56" s="3">
        <f>INDEX(CEA_SHOCK_SOLVE($A$12:$D$15,C57,D57,B57,,,,,,$E$13:$E$15,$B$5,$B$6,$B$7,,,$A$24:$A$50,$C$24:$C$33,$B$4,$B$8,TRUE),1,43)</f>
      </c>
      <c r="AW56" s="3">
        <f>INDEX(CEA_SHOCK_SOLVE($A$12:$D$15,C57,D57,B57,,,,,,$E$13:$E$15,$B$5,$B$6,$B$7,,,$A$24:$A$50,$C$24:$C$33,$B$4,$B$8,TRUE),1,44)</f>
      </c>
      <c r="AX56" s="3">
        <f>INDEX(CEA_SHOCK_SOLVE($A$12:$D$15,C57,D57,B57,,,,,,$E$13:$E$15,$B$5,$B$6,$B$7,,,$A$24:$A$50,$C$24:$C$33,$B$4,$B$8,TRUE),1,45)</f>
      </c>
      <c r="AY56" s="3">
        <f>INDEX(CEA_SHOCK_SOLVE($A$12:$D$15,C57,D57,B57,,,,,,$E$13:$E$15,$B$5,$B$6,$B$7,,,$A$24:$A$50,$C$24:$C$33,$B$4,$B$8,TRUE),1,46)</f>
      </c>
      <c r="AZ56" s="3">
        <f>INDEX(CEA_SHOCK_SOLVE($A$12:$D$15,C57,D57,B57,,,,,,$E$13:$E$15,$B$5,$B$6,$B$7,,,$A$24:$A$50,$C$24:$C$33,$B$4,$B$8,TRUE),1,47)</f>
      </c>
      <c r="BA56" s="3">
        <f>INDEX(CEA_SHOCK_SOLVE($A$12:$D$15,C57,D57,B57,,,,,,$E$13:$E$15,$B$5,$B$6,$B$7,,,$A$24:$A$50,$C$24:$C$33,$B$4,$B$8,TRUE),1,48)</f>
      </c>
      <c r="BB56" s="3">
        <f>INDEX(CEA_SHOCK_SOLVE($A$12:$D$15,C57,D57,B57,,,,,,$E$13:$E$15,$B$5,$B$6,$B$7,,,$A$24:$A$50,$C$24:$C$33,$B$4,$B$8,TRUE),1,49)</f>
      </c>
      <c r="BC56" s="3">
        <f>INDEX(CEA_SHOCK_SOLVE($A$12:$D$15,C57,D57,B57,,,,,,$E$13:$E$15,$B$5,$B$6,$B$7,,,$A$24:$A$50,$C$24:$C$33,$B$4,$B$8,TRUE),1,50)</f>
      </c>
      <c r="BD56" s="3">
        <f>INDEX(CEA_SHOCK_SOLVE($A$12:$D$15,C57,D57,B57,,,,,,$E$13:$E$15,$B$5,$B$6,$B$7,,,$A$24:$A$50,$C$24:$C$33,$B$4,$B$8,TRUE),1,51)</f>
      </c>
      <c r="BE56" s="3">
        <f>INDEX(CEA_SHOCK_SOLVE($A$12:$D$15,C57,D57,B57,,,,,,$E$13:$E$15,$B$5,$B$6,$B$7,,,$A$24:$A$50,$C$24:$C$33,$B$4,$B$8,TRUE),1,52)</f>
      </c>
      <c r="BF56" s="3">
        <f>INDEX(CEA_SHOCK_SOLVE($A$12:$D$15,C57,D57,B57,,,,,,$E$13:$E$15,$B$5,$B$6,$B$7,,,$A$24:$A$50,$C$24:$C$33,$B$4,$B$8,TRUE),1,53)</f>
      </c>
      <c r="BG56" s="3">
        <f>INDEX(CEA_SHOCK_SOLVE($A$12:$D$15,C57,D57,B57,,,,,,$E$13:$E$15,$B$5,$B$6,$B$7,,,$A$24:$A$50,$C$24:$C$33,$B$4,$B$8,TRUE),1,54)</f>
      </c>
      <c r="BH56" s="3">
        <f>IFERROR(INDEX(CEA_SHOCK_SOLVE($A$12:$D$15,C57,D57,B57,,,,,,$E$13:$E$15,$B$5,$B$6,$B$7,,,$A$41:$A$50,,$B$4,$B$8,TRUE),1,4),"")</f>
      </c>
      <c r="BI56" s="3">
        <f>IFERROR(INDEX(CEA_SHOCK_SOLVE($A$12:$D$15,C57,D57,B57,,,,,,$E$13:$E$15,$B$5,$B$6,$B$7,,,$A$41:$A$50,,$B$4,$B$8,TRUE),1,5),"")</f>
      </c>
      <c r="BJ56" s="3">
        <f>IFERROR(INDEX(CEA_SHOCK_SOLVE($A$12:$D$15,C57,D57,B57,,,,,,$E$13:$E$15,$B$5,$B$6,$B$7,,,$A$41:$A$50,,$B$4,$B$8,TRUE),1,6),"")</f>
      </c>
      <c r="BK56" s="3">
        <f>IFERROR(INDEX(CEA_SHOCK_SOLVE($A$12:$D$15,C57,D57,B57,,,,,,$E$13:$E$15,$B$5,$B$6,$B$7,,,$A$41:$A$50,,$B$4,$B$8,TRUE),1,7),"")</f>
      </c>
      <c r="BL56" s="3">
        <f>IFERROR(INDEX(CEA_SHOCK_SOLVE($A$12:$D$15,C57,D57,B57,,,,,,$E$13:$E$15,$B$5,$B$6,$B$7,,,$A$41:$A$50,,$B$4,$B$8,TRUE),1,8),"")</f>
      </c>
      <c r="BM56" s="3">
        <f>IFERROR(INDEX(CEA_SHOCK_SOLVE($A$12:$D$15,C57,D57,B57,,,,,,$E$13:$E$15,$B$5,$B$6,$B$7,,,$A$41:$A$50,,$B$4,$B$8,TRUE),1,9),"")</f>
      </c>
      <c r="BN56" s="3">
        <f>IFERROR(INDEX(CEA_SHOCK_SOLVE($A$12:$D$15,C57,D57,B57,,,,,,$E$13:$E$15,$B$5,$B$6,$B$7,,,$A$41:$A$50,,$B$4,$B$8,TRUE),1,10),"")</f>
      </c>
      <c r="BO56" s="3">
        <f>IFERROR(INDEX(CEA_SHOCK_SOLVE($A$12:$D$15,C57,D57,B57,,,,,,$E$13:$E$15,$B$5,$B$6,$B$7,,,$A$41:$A$50,,$B$4,$B$8,TRUE),1,11),"")</f>
      </c>
      <c r="BP56" s="3">
        <f>IFERROR(INDEX(CEA_SHOCK_SOLVE($A$12:$D$15,C57,D57,B57,,,,,,$E$13:$E$15,$B$5,$B$6,$B$7,,,$A$41:$A$50,,$B$4,$B$8,TRUE),1,12),"")</f>
      </c>
      <c r="BQ56" s="3">
        <f>IFERROR(INDEX(CEA_SHOCK_SOLVE($A$12:$D$15,C57,D57,B57,,,,,,$E$13:$E$15,$B$5,$B$6,$B$7,,,$A$41:$A$50,,$B$4,$B$8,TRUE),1,13),"")</f>
      </c>
      <c r="BR56" s="3">
        <f>IFERROR(INDEX(CEA_SHOCK_SOLVE($A$12:$D$15,C57,D57,B57,,,,,,$E$13:$E$15,$B$5,$B$6,$B$7,,,$A$28:$A$28,$C$24:$C$33,$B$4,$B$8,TRUE),1,7),"")</f>
      </c>
      <c r="BS56" s="3">
        <f>IFERROR(INDEX(CEA_SHOCK_SOLVE($A$12:$D$15,C57,D57,B57,,,,,,$E$13:$E$15,$B$5,$B$6,$B$7,,,$A$28:$A$28,$C$24:$C$33,$B$4,$B$8,TRUE),1,8),"")</f>
      </c>
      <c r="BT56" s="3">
        <f>IFERROR(INDEX(CEA_SHOCK_SOLVE($A$12:$D$15,C57,D57,B57,,,,,,$E$13:$E$15,$B$5,$B$6,$B$7,,,$A$28:$A$28,$C$24:$C$33,$B$4,$B$8,TRUE),1,9),"")</f>
      </c>
      <c r="BU56" s="3">
        <f>IFERROR(INDEX(CEA_SHOCK_SOLVE($A$12:$D$15,C57,D57,B57,,,,,,$E$13:$E$15,$B$5,$B$6,$B$7,,,$A$28:$A$28,$C$24:$C$33,$B$4,$B$8,TRUE),1,10),"")</f>
      </c>
      <c r="BV56" s="3">
        <f>IFERROR(INDEX(CEA_SHOCK_SOLVE($A$12:$D$15,C57,D57,B57,,,,,,$E$13:$E$15,$B$5,$B$6,$B$7,,,$A$28:$A$28,$C$24:$C$33,$B$4,$B$8,TRUE),1,11),"")</f>
      </c>
      <c r="BW56" s="3">
        <f>IFERROR(INDEX(CEA_SHOCK_SOLVE($A$12:$D$15,C57,D57,B57,,,,,,$E$13:$E$15,$B$5,$B$6,$B$7,,,$A$28:$A$28,$C$24:$C$33,$B$4,$B$8,TRUE),1,12),"")</f>
      </c>
      <c r="BX56" s="3">
        <f>IFERROR(INDEX(CEA_SHOCK_SOLVE($A$12:$D$15,C57,D57,B57,,,,,,$E$13:$E$15,$B$5,$B$6,$B$7,,,$A$28:$A$28,$C$24:$C$33,$B$4,$B$8,TRUE),1,13),"")</f>
      </c>
      <c r="BY56" s="3">
        <f>IFERROR(INDEX(CEA_SHOCK_SOLVE($A$12:$D$15,C57,D57,B57,,,,,,$E$13:$E$15,$B$5,$B$6,$B$7,,,$A$28:$A$28,$C$24:$C$33,$B$4,$B$8,TRUE),1,14),"")</f>
      </c>
      <c r="BZ56" s="3">
        <f>IFERROR(INDEX(CEA_SHOCK_SOLVE($A$12:$D$15,C57,D57,B57,,,,,,$E$13:$E$15,$B$5,$B$6,$B$7,,,$A$28:$A$28,$C$24:$C$33,$B$4,$B$8,TRUE),1,15),"")</f>
      </c>
      <c r="CA56" s="3">
        <f>IFERROR(INDEX(CEA_SHOCK_SOLVE($A$12:$D$15,C57,D57,B57,,,,,,$E$13:$E$15,$B$5,$B$6,$B$7,,,$A$28:$A$28,$C$24:$C$33,$B$4,$B$8,TRUE),1,16),"")</f>
      </c>
      <c r="CB56" s="3">
        <f>IFERROR(INDEX(CEA_SHOCK_SOLVE($A$12:$D$15,C57,D57,B57,,,,,,$E$13:$E$15,$B$5,$B$6,$B$7,,,$A$28:$A$28,$C$24:$C$33,$B$4,$B$8,TRUE),1,17),"")</f>
      </c>
      <c r="CC56" s="3">
        <f>IFERROR(INDEX(CEA_SHOCK_SOLVE($A$12:$D$15,C57,D57,B57,,,,,,$E$13:$E$15,$B$5,$B$6,$B$7,,,$A$28:$A$28,$C$24:$C$33,$B$4,$B$8,TRUE),1,18),"")</f>
      </c>
      <c r="CD56" s="3">
        <f>IFERROR(INDEX(CEA_SHOCK_SOLVE($A$12:$D$15,C57,D57,B57,,,,,,$E$13:$E$15,$B$5,$B$6,$B$7,,,$A$28:$A$28,$C$24:$C$33,$B$4,$B$8,TRUE),1,19),"")</f>
      </c>
      <c r="CE56" s="3">
        <f>IFERROR(INDEX(CEA_SHOCK_SOLVE($A$12:$D$15,C57,D57,B57,,,,,,$E$13:$E$15,$B$5,$B$6,$B$7,,,$A$28:$A$28,$C$24:$C$33,$B$4,$B$8,TRUE),1,20),"")</f>
      </c>
      <c r="CF56" s="3">
        <f>IFERROR(INDEX(CEA_SHOCK_SOLVE($A$12:$D$15,C57,D57,B57,,,,,,$E$13:$E$15,$B$5,$B$6,$B$7,,,$A$28:$A$28,$C$24:$C$33,$B$4,$B$8,TRUE),1,21),"")</f>
      </c>
      <c r="CG56" s="3">
        <f>IFERROR(INDEX(CEA_SHOCK_SOLVE($A$12:$D$15,C57,D57,B57,,,,,,$E$13:$E$15,$B$5,$B$6,$B$7,,,$A$28:$A$28,$C$24:$C$33,$B$4,$B$8,TRUE),1,22),"")</f>
      </c>
      <c r="CH56" s="3">
        <f>IFERROR(INDEX(CEA_SHOCK_SOLVE($A$12:$D$15,C57,D57,B57,,,,,,$E$13:$E$15,$B$5,$B$6,$B$7,,,$A$28:$A$28,$C$24:$C$33,$B$4,$B$8,TRUE),1,23),"")</f>
      </c>
      <c r="CI56" s="3">
        <f>IFERROR(INDEX(CEA_SHOCK_SOLVE($A$12:$D$15,C57,D57,B57,,,,,,$E$13:$E$15,$B$5,$B$6,$B$7,,,$A$28:$A$28,$C$24:$C$33,$B$4,$B$8,TRUE),1,24),"")</f>
      </c>
      <c r="CJ56" s="3">
        <f>IFERROR(INDEX(CEA_SHOCK_SOLVE($A$12:$D$15,C57,D57,B57,,,,,,$E$13:$E$15,$B$5,$B$6,$B$7,,,$A$28:$A$28,$C$24:$C$33,$B$4,$B$8,TRUE),1,25),"")</f>
      </c>
      <c r="CK56" s="3">
        <f>IFERROR(INDEX(CEA_SHOCK_SOLVE($A$12:$D$15,C57,D57,B57,,,,,,$E$13:$E$15,$B$5,$B$6,$B$7,,,$A$28:$A$28,$C$24:$C$33,$B$4,$B$8,TRUE),1,26),"")</f>
      </c>
      <c r="CL56" s="3">
        <f>IFERROR(INDEX(CEA_SHOCK_SOLVE($A$12:$D$15,C57,D57,B57,,,,,,$E$13:$E$15,$B$5,$B$6,$B$7,,,$A$28:$A$28,$C$24:$C$33,$B$4,$B$8,TRUE),1,27),"")</f>
      </c>
      <c r="CM56" s="3">
        <f>IFERROR(INDEX(CEA_SHOCK_SOLVE($A$12:$D$15,C57,D57,B57,,,,,,$E$13:$E$15,$B$5,$B$6,$B$7,,,$A$28:$A$28,$C$24:$C$33,$B$4,$B$8,TRUE),1,28),"")</f>
      </c>
      <c r="CN56" s="3">
        <f>IFERROR(INDEX(CEA_SHOCK_SOLVE($A$12:$D$15,C57,D57,B57,,,,,,$E$13:$E$15,$B$5,$B$6,$B$7,,,$A$28:$A$28,$C$24:$C$33,$B$4,$B$8,TRUE),1,29),"")</f>
      </c>
      <c r="CO56" s="3">
        <f>IFERROR(INDEX(CEA_SHOCK_SOLVE($A$12:$D$15,C57,D57,B57,,,,,,$E$13:$E$15,$B$5,$B$6,$B$7,,,$A$28:$A$28,$C$24:$C$33,$B$4,$B$8,TRUE),1,30),"")</f>
      </c>
      <c r="CP56" s="3">
        <f>IFERROR(INDEX(CEA_SHOCK_SOLVE($A$12:$D$15,C57,D57,B57,,,,,,$E$13:$E$15,$B$5,$B$6,$B$7,,,$A$28:$A$28,$C$24:$C$33,$B$4,$B$8,TRUE),1,31),"")</f>
      </c>
      <c r="CQ56" s="3">
        <f>IFERROR(INDEX(CEA_SHOCK_SOLVE($A$12:$D$15,C57,D57,B57,,,,,,$E$13:$E$15,$B$5,$B$6,$B$7,,,$A$28:$A$28,$C$24:$C$33,$B$4,$B$8,TRUE),1,32),"")</f>
      </c>
      <c r="CR56" s="3">
        <f>IFERROR(INDEX(CEA_SHOCK_SOLVE($A$12:$D$15,C57,D57,B57,,,,,,$E$13:$E$15,$B$5,$B$6,$B$7,,,$A$28:$A$28,$C$24:$C$33,$B$4,$B$8,TRUE),1,33),"")</f>
      </c>
      <c r="CS56" s="3">
        <f>IFERROR(INDEX(CEA_SHOCK_SOLVE($A$12:$D$15,C57,D57,B57,,,,,,$E$13:$E$15,$B$5,$B$6,$B$7,,,$A$28:$A$28,$C$24:$C$33,$B$4,$B$8,TRUE),1,34),"")</f>
      </c>
      <c r="CT56" s="3">
        <f>IFERROR(INDEX(CEA_SHOCK_SOLVE($A$12:$D$15,C57,D57,B57,,,,,,$E$13:$E$15,$B$5,$B$6,$B$7,,,$A$28:$A$28,$C$24:$C$33,$B$4,$B$8,TRUE),1,35),"")</f>
      </c>
      <c r="CU56" s="3">
        <f>IFERROR(INDEX(CEA_SHOCK_SOLVE($A$12:$D$15,C57,D57,B57,,,,,,$E$13:$E$15,$B$5,$B$6,$B$7,,,$A$28:$A$28,$C$24:$C$33,$B$4,$B$8,TRUE),1,36),"")</f>
      </c>
      <c r="CV56" s="3">
        <f>IFERROR(INDEX(CEA_SHOCK_SOLVE($A$12:$D$15,C57,D57,B57,,,,,,$E$13:$E$15,$B$5,$B$6,$B$7,,,$A$28:$A$28,$C$24:$C$33,$B$4,$B$8,TRUE),1,37),"")</f>
      </c>
      <c r="CW56" s="3">
        <f>IFERROR(INDEX(CEA_SHOCK_SOLVE($A$12:$D$15,C57,D57,B57,,,,,,$E$13:$E$15,$B$5,$B$6,$B$7,,,$A$28:$A$28,$C$24:$C$33,$B$4,$B$8,TRUE),1,38),"")</f>
      </c>
      <c r="CX56" s="3">
        <f>IFERROR(INDEX(CEA_SHOCK_SOLVE($A$12:$D$15,C57,D57,B57,,,,,,$E$13:$E$15,$B$5,$B$6,$B$7,,,$A$28:$A$28,$C$24:$C$33,$B$4,$B$8,TRUE),1,39),"")</f>
      </c>
      <c r="CY56" s="3">
        <f>IFERROR(INDEX(CEA_SHOCK_SOLVE($A$12:$D$15,C57,D57,B57,,,,,,$E$13:$E$15,$B$5,$B$6,$B$7,,,$A$28:$A$28,$C$24:$C$33,$B$4,$B$8,TRUE),1,40),"")</f>
      </c>
      <c r="CZ56" s="3">
        <f>IFERROR(INDEX(CEA_SHOCK_SOLVE($A$12:$D$15,C57,D57,B57,,,,,,$E$13:$E$15,$B$5,$B$6,$B$7,,,$A$28:$A$28,$C$24:$C$33,$B$4,$B$8,TRUE),1,41),"")</f>
      </c>
      <c r="DA56" s="3">
        <f>IFERROR(INDEX(CEA_SHOCK_SOLVE($A$12:$D$15,C57,D57,B57,,,,,,$E$13:$E$15,$B$5,$B$6,$B$7,,,$A$28:$A$28,$C$24:$C$33,$B$4,$B$8,TRUE),1,42),"")</f>
      </c>
      <c r="DB56" s="3">
        <f>IFERROR(INDEX(CEA_SHOCK_SOLVE($A$12:$D$15,C57,D57,B57,,,,,,$E$13:$E$15,$B$5,$B$6,$B$7,,,$A$28:$A$28,$C$24:$C$33,$B$4,$B$8,TRUE),1,43),"")</f>
      </c>
      <c r="DC56" s="3">
        <f>IFERROR(INDEX(CEA_SHOCK_SOLVE($A$12:$D$15,C57,D57,B57,,,,,,$E$13:$E$15,$B$5,$B$6,$B$7,,,$A$28:$A$28,$C$24:$C$33,$B$4,$B$8,TRUE),1,44),"")</f>
      </c>
      <c r="DD56" s="3">
        <f>IFERROR(INDEX(CEA_SHOCK_SOLVE($A$12:$D$15,C57,D57,B57,,,,,,$E$13:$E$15,$B$5,$B$6,$B$7,,,$A$28:$A$28,$C$24:$C$33,$B$4,$B$8,TRUE),1,45),"")</f>
      </c>
      <c r="DE56" s="3">
        <f>IFERROR(INDEX(CEA_SHOCK_SOLVE($A$12:$D$15,C57,D57,B57,,,,,,$E$13:$E$15,$B$5,$B$6,$B$7,,,$A$28:$A$28,$C$24:$C$33,$B$4,$B$8,TRUE),1,46),"")</f>
      </c>
      <c r="DF56" s="3">
        <f>IFERROR(INDEX(CEA_SHOCK_SOLVE($A$12:$D$15,C57,D57,B57,,,,,,$E$13:$E$15,$B$5,$B$6,$B$7,,,$A$28:$A$28,$C$24:$C$33,$B$4,$B$8,TRUE),1,47),"")</f>
      </c>
      <c r="DG56" s="3">
        <f>IFERROR(INDEX(CEA_SHOCK_SOLVE($A$12:$D$15,C57,D57,B57,,,,,,$E$13:$E$15,$B$5,$B$6,$B$7,,,$A$28:$A$28,$C$24:$C$33,$B$4,$B$8,TRUE),1,48),"")</f>
      </c>
      <c r="DH56" s="3">
        <f>IFERROR(INDEX(CEA_SHOCK_SOLVE($A$12:$D$15,C57,D57,B57,,,,,,$E$13:$E$15,$B$5,$B$6,$B$7,,,$A$28:$A$28,$C$24:$C$33,$B$4,$B$8,TRUE),1,49),"")</f>
      </c>
      <c r="DI56" s="3">
        <f>IFERROR(INDEX(CEA_SHOCK_SOLVE($A$12:$D$15,C57,D57,B57,,,,,,$E$13:$E$15,$B$5,$B$6,$B$7,,,$A$28:$A$28,$C$24:$C$33,$B$4,$B$8,TRUE),1,50),"")</f>
      </c>
      <c r="DJ56" s="3">
        <f>IFERROR(INDEX(CEA_SHOCK_SOLVE($A$12:$D$15,C57,D57,B57,,,,,,$E$13:$E$15,$B$5,$B$6,$B$7,,,$A$28:$A$28,$C$24:$C$33,$B$4,$B$8,TRUE),1,51),"")</f>
      </c>
      <c r="DK56" s="3">
        <f>IFERROR(INDEX(CEA_SHOCK_SOLVE($A$12:$D$15,C57,D57,B57,,,,,,$E$13:$E$15,$B$5,$B$6,$B$7,,,$A$28:$A$28,$C$24:$C$33,$B$4,$B$8,TRUE),1,52),"")</f>
      </c>
      <c r="DL56" s="3">
        <f>IFERROR(INDEX(CEA_SHOCK_SOLVE($A$12:$D$15,C57,D57,B57,,,,,,$E$13:$E$15,$B$5,$B$6,$B$7,,,$A$28:$A$28,$C$24:$C$33,$B$4,$B$8,TRUE),1,53),"")</f>
      </c>
      <c r="DM56" s="3">
        <f>IFERROR(INDEX(CEA_SHOCK_SOLVE($A$12:$D$15,C57,D57,B57,,,,,,$E$13:$E$15,$B$5,$B$6,$B$7,,,$A$28:$A$28,$C$24:$C$33,$B$4,$B$8,TRUE),1,54),"")</f>
      </c>
      <c r="DN56" s="3">
        <f>IFERROR(INDEX(CEA_SHOCK_SOLVE($A$12:$D$15,C57,D57,B57,,,,,,$E$13:$E$15,$B$5,$B$6,$B$7,,,$A$28:$A$28,$C$24:$C$33,$B$4,$B$8,TRUE),1,55),"")</f>
      </c>
      <c r="DO56" s="3">
        <f>IFERROR(INDEX(CEA_SHOCK_SOLVE($A$12:$D$15,C57,D57,B57,,,,,,$E$13:$E$15,$B$5,$B$6,$B$7,,,$A$28:$A$28,$C$24:$C$33,$B$4,$B$8,TRUE),1,56),"")</f>
      </c>
      <c r="DP56" s="3">
        <f>IFERROR(INDEX(CEA_SHOCK_SOLVE($A$12:$D$15,C57,D57,B57,,,,,,$E$13:$E$15,$B$5,$B$6,$B$7,,,$A$28:$A$28,$C$24:$C$33,$B$4,$B$8,TRUE),1,57),"")</f>
      </c>
      <c r="DQ56" s="3">
        <f>IFERROR(INDEX(CEA_SHOCK_SOLVE($A$12:$D$15,C57,D57,B57,,,,,,$E$13:$E$15,$B$5,$B$6,$B$7,,,$A$28:$A$28,$C$24:$C$33,$B$4,$B$8,TRUE),1,58),"")</f>
      </c>
      <c r="DR56" s="3">
        <f>IFERROR(INDEX(CEA_SHOCK_SOLVE($A$12:$D$15,C57,D57,B57,,,,,,$E$13:$E$15,$B$5,$B$6,$B$7,,,$A$28:$A$28,$C$24:$C$33,$B$4,$B$8,TRUE),1,59),"")</f>
      </c>
      <c r="DS56" s="3">
        <f>IFERROR(INDEX(CEA_SHOCK_SOLVE($A$12:$D$15,C57,D57,B57,,,,,,$E$13:$E$15,$B$5,$B$6,$B$7,,,$A$28:$A$28,$C$24:$C$33,$B$4,$B$8,TRUE),1,60),"")</f>
      </c>
      <c r="DT56" s="3">
        <f>IFERROR(INDEX(CEA_SHOCK_SOLVE($A$12:$D$15,C57,D57,B57,,,,,,$E$13:$E$15,$B$5,$B$6,$B$7,,,$A$28:$A$28,$C$24:$C$33,$B$4,$B$8,TRUE),1,61),"")</f>
      </c>
      <c r="DU56" s="3">
        <f>IFERROR(INDEX(CEA_SHOCK_SOLVE($A$12:$D$15,C57,D57,B57,,,,,,$E$13:$E$15,$B$5,$B$6,$B$7,,,$A$28:$A$28,$C$24:$C$33,$B$4,$B$8,TRUE),1,62),"")</f>
      </c>
      <c r="DV56" s="3">
        <f>IFERROR(INDEX(CEA_SHOCK_SOLVE($A$12:$D$15,C57,D57,B57,,,,,,$E$13:$E$15,$B$5,$B$6,$B$7,,,$A$28:$A$28,$C$24:$C$33,$B$4,$B$8,TRUE),1,63),"")</f>
      </c>
      <c r="DW56" s="3">
        <f>IFERROR(INDEX(CEA_SHOCK_SOLVE($A$12:$D$15,C57,D57,B57,,,,,,$E$13:$E$15,$B$5,$B$6,$B$7,,,$A$28:$A$28,$C$24:$C$33,$B$4,$B$8,TRUE),1,64),"")</f>
      </c>
      <c r="DX56" s="3">
        <f>IFERROR(INDEX(CEA_SHOCK_SOLVE($A$12:$D$15,C57,D57,B57,,,,,,$E$13:$E$15,$B$5,$B$6,$B$7,,,$A$28:$A$28,$C$24:$C$33,$B$4,$B$8,TRUE),1,65),"")</f>
      </c>
      <c r="DY56" s="3">
        <f>IFERROR(INDEX(CEA_SHOCK_SOLVE($A$12:$D$15,C57,D57,B57,,,,,,$E$13:$E$15,$B$5,$B$6,$B$7,,,$A$28:$A$28,$C$24:$C$33,$B$4,$B$8,TRUE),1,66),"")</f>
      </c>
    </row>
    <row r="57" spans="1:149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INDEX(CEA_SHOCK_SOLVE($A$12:$D$15,C57,D57,B57,,,,,,$E$13:$E$15,$B$5,$B$6,$B$7,,,$A$24:$A$50,$C$24:$C$33,$B$4,$B$8,FALSE),1,1)</f>
      </c>
      <c r="G57" s="5">
        <f>INDEX(CEA_SHOCK_SOLVE($A$12:$D$15,C57,D57,B57,,,,,,$E$13:$E$15,$B$5,$B$6,$B$7,,,$A$24:$A$50,$C$24:$C$33,$B$4,$B$8,FALSE),1,2)</f>
      </c>
      <c r="H57" s="5">
        <f>INDEX(CEA_SHOCK_SOLVE($A$12:$D$15,C57,D57,B57,,,,,,$E$13:$E$15,$B$5,$B$6,$B$7,,,$A$24:$A$50,$C$24:$C$33,$B$4,$B$8,FALSE),1,3)</f>
      </c>
      <c r="I57" s="5">
        <f>INDEX(CEA_SHOCK_SOLVE($A$12:$D$15,C57,D57,B57,,,,,,$E$13:$E$15,$B$5,$B$6,$B$7,,,$A$24:$A$50,$C$24:$C$33,$B$4,$B$8,FALSE),1,4)</f>
      </c>
      <c r="J57" s="5">
        <f>INDEX(CEA_SHOCK_SOLVE($A$12:$D$15,C57,D57,B57,,,,,,$E$13:$E$15,$B$5,$B$6,$B$7,,,$A$24:$A$50,$C$24:$C$33,$B$4,$B$8,FALSE),1,5)</f>
      </c>
      <c r="K57" s="5">
        <f>INDEX(CEA_SHOCK_SOLVE($A$12:$D$15,C57,D57,B57,,,,,,$E$13:$E$15,$B$5,$B$6,$B$7,,,$A$24:$A$50,$C$24:$C$33,$B$4,$B$8,FALSE),1,6)</f>
      </c>
      <c r="L57" s="5">
        <f>INDEX(CEA_SHOCK_SOLVE($A$12:$D$15,C57,D57,B57,,,,,,$E$13:$E$15,$B$5,$B$6,$B$7,,,$A$24:$A$50,$C$24:$C$33,$B$4,$B$8,FALSE),1,7)</f>
      </c>
      <c r="M57" s="5">
        <f>INDEX(CEA_SHOCK_SOLVE($A$12:$D$15,C57,D57,B57,,,,,,$E$13:$E$15,$B$5,$B$6,$B$7,,,$A$24:$A$50,$C$24:$C$33,$B$4,$B$8,FALSE),1,8)</f>
      </c>
      <c r="N57" s="5">
        <f>INDEX(CEA_SHOCK_SOLVE($A$12:$D$15,C57,D57,B57,,,,,,$E$13:$E$15,$B$5,$B$6,$B$7,,,$A$24:$A$50,$C$24:$C$33,$B$4,$B$8,FALSE),1,9)</f>
      </c>
      <c r="O57" s="5">
        <f>INDEX(CEA_SHOCK_SOLVE($A$12:$D$15,C57,D57,B57,,,,,,$E$13:$E$15,$B$5,$B$6,$B$7,,,$A$24:$A$50,$C$24:$C$33,$B$4,$B$8,FALSE),1,10)</f>
      </c>
      <c r="P57" s="5">
        <f>INDEX(CEA_SHOCK_SOLVE($A$12:$D$15,C57,D57,B57,,,,,,$E$13:$E$15,$B$5,$B$6,$B$7,,,$A$24:$A$50,$C$24:$C$33,$B$4,$B$8,FALSE),1,11)</f>
      </c>
      <c r="Q57" s="5">
        <f>INDEX(CEA_SHOCK_SOLVE($A$12:$D$15,C57,D57,B57,,,,,,$E$13:$E$15,$B$5,$B$6,$B$7,,,$A$24:$A$50,$C$24:$C$33,$B$4,$B$8,FALSE),1,12)</f>
      </c>
      <c r="R57" s="5">
        <f>INDEX(CEA_SHOCK_SOLVE($A$12:$D$15,C57,D57,B57,,,,,,$E$13:$E$15,$B$5,$B$6,$B$7,,,$A$24:$A$50,$C$24:$C$33,$B$4,$B$8,FALSE),1,13)</f>
      </c>
      <c r="S57" s="5">
        <f>INDEX(CEA_SHOCK_SOLVE($A$12:$D$15,C57,D57,B57,,,,,,$E$13:$E$15,$B$5,$B$6,$B$7,,,$A$24:$A$50,$C$24:$C$33,$B$4,$B$8,FALSE),1,14)</f>
      </c>
      <c r="T57" s="5">
        <f>INDEX(CEA_SHOCK_SOLVE($A$12:$D$15,C57,D57,B57,,,,,,$E$13:$E$15,$B$5,$B$6,$B$7,,,$A$24:$A$50,$C$24:$C$33,$B$4,$B$8,FALSE),1,15)</f>
      </c>
      <c r="U57" s="5">
        <f>INDEX(CEA_SHOCK_SOLVE($A$12:$D$15,C57,D57,B57,,,,,,$E$13:$E$15,$B$5,$B$6,$B$7,,,$A$24:$A$50,$C$24:$C$33,$B$4,$B$8,FALSE),1,16)</f>
      </c>
      <c r="V57" s="5">
        <f>INDEX(CEA_SHOCK_SOLVE($A$12:$D$15,C57,D57,B57,,,,,,$E$13:$E$15,$B$5,$B$6,$B$7,,,$A$24:$A$50,$C$24:$C$33,$B$4,$B$8,FALSE),1,17)</f>
      </c>
      <c r="W57" s="5">
        <f>INDEX(CEA_SHOCK_SOLVE($A$12:$D$15,C57,D57,B57,,,,,,$E$13:$E$15,$B$5,$B$6,$B$7,,,$A$24:$A$50,$C$24:$C$33,$B$4,$B$8,FALSE),1,18)</f>
      </c>
      <c r="X57" s="5">
        <f>INDEX(CEA_SHOCK_SOLVE($A$12:$D$15,C57,D57,B57,,,,,,$E$13:$E$15,$B$5,$B$6,$B$7,,,$A$24:$A$50,$C$24:$C$33,$B$4,$B$8,FALSE),1,19)</f>
      </c>
      <c r="Y57" s="5">
        <f>INDEX(CEA_SHOCK_SOLVE($A$12:$D$15,C57,D57,B57,,,,,,$E$13:$E$15,$B$5,$B$6,$B$7,,,$A$24:$A$50,$C$24:$C$33,$B$4,$B$8,FALSE),1,20)</f>
      </c>
      <c r="Z57" s="5">
        <f>INDEX(CEA_SHOCK_SOLVE($A$12:$D$15,C57,D57,B57,,,,,,$E$13:$E$15,$B$5,$B$6,$B$7,,,$A$24:$A$50,$C$24:$C$33,$B$4,$B$8,FALSE),1,21)</f>
      </c>
      <c r="AA57" s="5">
        <f>INDEX(CEA_SHOCK_SOLVE($A$12:$D$15,C57,D57,B57,,,,,,$E$13:$E$15,$B$5,$B$6,$B$7,,,$A$24:$A$50,$C$24:$C$33,$B$4,$B$8,FALSE),1,22)</f>
      </c>
      <c r="AB57" s="5">
        <f>INDEX(CEA_SHOCK_SOLVE($A$12:$D$15,C57,D57,B57,,,,,,$E$13:$E$15,$B$5,$B$6,$B$7,,,$A$24:$A$50,$C$24:$C$33,$B$4,$B$8,FALSE),1,23)</f>
      </c>
      <c r="AC57" s="5">
        <f>INDEX(CEA_SHOCK_SOLVE($A$12:$D$15,C57,D57,B57,,,,,,$E$13:$E$15,$B$5,$B$6,$B$7,,,$A$24:$A$50,$C$24:$C$33,$B$4,$B$8,FALSE),1,24)</f>
      </c>
      <c r="AD57" s="5">
        <f>INDEX(CEA_SHOCK_SOLVE($A$12:$D$15,C57,D57,B57,,,,,,$E$13:$E$15,$B$5,$B$6,$B$7,,,$A$24:$A$50,$C$24:$C$33,$B$4,$B$8,FALSE),1,25)</f>
      </c>
      <c r="AE57" s="5">
        <f>INDEX(CEA_SHOCK_SOLVE($A$12:$D$15,C57,D57,B57,,,,,,$E$13:$E$15,$B$5,$B$6,$B$7,,,$A$24:$A$50,$C$24:$C$33,$B$4,$B$8,FALSE),1,26)</f>
      </c>
      <c r="AF57" s="5">
        <f>INDEX(CEA_SHOCK_SOLVE($A$12:$D$15,C57,D57,B57,,,,,,$E$13:$E$15,$B$5,$B$6,$B$7,,,$A$24:$A$50,$C$24:$C$33,$B$4,$B$8,FALSE),1,27)</f>
      </c>
      <c r="AG57" s="5">
        <f>INDEX(CEA_SHOCK_SOLVE($A$12:$D$15,C57,D57,B57,,,,,,$E$13:$E$15,$B$5,$B$6,$B$7,,,$A$24:$A$50,$C$24:$C$33,$B$4,$B$8,FALSE),1,28)</f>
      </c>
      <c r="AH57" s="5">
        <f>INDEX(CEA_SHOCK_SOLVE($A$12:$D$15,C57,D57,B57,,,,,,$E$13:$E$15,$B$5,$B$6,$B$7,,,$A$24:$A$50,$C$24:$C$33,$B$4,$B$8,FALSE),1,29)</f>
      </c>
      <c r="AI57" s="5">
        <f>INDEX(CEA_SHOCK_SOLVE($A$12:$D$15,C57,D57,B57,,,,,,$E$13:$E$15,$B$5,$B$6,$B$7,,,$A$24:$A$50,$C$24:$C$33,$B$4,$B$8,FALSE),1,30)</f>
      </c>
      <c r="AJ57" s="5">
        <f>INDEX(CEA_SHOCK_SOLVE($A$12:$D$15,C57,D57,B57,,,,,,$E$13:$E$15,$B$5,$B$6,$B$7,,,$A$24:$A$50,$C$24:$C$33,$B$4,$B$8,FALSE),1,31)</f>
      </c>
      <c r="AK57" s="5">
        <f>INDEX(CEA_SHOCK_SOLVE($A$12:$D$15,C57,D57,B57,,,,,,$E$13:$E$15,$B$5,$B$6,$B$7,,,$A$24:$A$50,$C$24:$C$33,$B$4,$B$8,FALSE),1,32)</f>
      </c>
      <c r="AL57" s="5">
        <f>INDEX(CEA_SHOCK_SOLVE($A$12:$D$15,C57,D57,B57,,,,,,$E$13:$E$15,$B$5,$B$6,$B$7,,,$A$24:$A$50,$C$24:$C$33,$B$4,$B$8,FALSE),1,33)</f>
      </c>
      <c r="AM57" s="5">
        <f>INDEX(CEA_SHOCK_SOLVE($A$12:$D$15,C57,D57,B57,,,,,,$E$13:$E$15,$B$5,$B$6,$B$7,,,$A$24:$A$50,$C$24:$C$33,$B$4,$B$8,FALSE),1,34)</f>
      </c>
      <c r="AN57" s="5">
        <f>INDEX(CEA_SHOCK_SOLVE($A$12:$D$15,C57,D57,B57,,,,,,$E$13:$E$15,$B$5,$B$6,$B$7,,,$A$24:$A$50,$C$24:$C$33,$B$4,$B$8,FALSE),1,35)</f>
      </c>
      <c r="AO57" s="5">
        <f>INDEX(CEA_SHOCK_SOLVE($A$12:$D$15,C57,D57,B57,,,,,,$E$13:$E$15,$B$5,$B$6,$B$7,,,$A$24:$A$50,$C$24:$C$33,$B$4,$B$8,FALSE),1,36)</f>
      </c>
      <c r="AP57" s="5">
        <f>INDEX(CEA_SHOCK_SOLVE($A$12:$D$15,C57,D57,B57,,,,,,$E$13:$E$15,$B$5,$B$6,$B$7,,,$A$24:$A$50,$C$24:$C$33,$B$4,$B$8,FALSE),1,37)</f>
      </c>
      <c r="AQ57" s="5">
        <f>INDEX(CEA_SHOCK_SOLVE($A$12:$D$15,C57,D57,B57,,,,,,$E$13:$E$15,$B$5,$B$6,$B$7,,,$A$24:$A$50,$C$24:$C$33,$B$4,$B$8,FALSE),1,38)</f>
      </c>
      <c r="AR57" s="5">
        <f>INDEX(CEA_SHOCK_SOLVE($A$12:$D$15,C57,D57,B57,,,,,,$E$13:$E$15,$B$5,$B$6,$B$7,,,$A$24:$A$50,$C$24:$C$33,$B$4,$B$8,FALSE),1,39)</f>
      </c>
      <c r="AS57" s="5">
        <f>INDEX(CEA_SHOCK_SOLVE($A$12:$D$15,C57,D57,B57,,,,,,$E$13:$E$15,$B$5,$B$6,$B$7,,,$A$24:$A$50,$C$24:$C$33,$B$4,$B$8,FALSE),1,40)</f>
      </c>
      <c r="AT57" s="5">
        <f>INDEX(CEA_SHOCK_SOLVE($A$12:$D$15,C57,D57,B57,,,,,,$E$13:$E$15,$B$5,$B$6,$B$7,,,$A$24:$A$50,$C$24:$C$33,$B$4,$B$8,FALSE),1,41)</f>
      </c>
      <c r="AU57" s="5">
        <f>INDEX(CEA_SHOCK_SOLVE($A$12:$D$15,C57,D57,B57,,,,,,$E$13:$E$15,$B$5,$B$6,$B$7,,,$A$24:$A$50,$C$24:$C$33,$B$4,$B$8,FALSE),1,42)</f>
      </c>
      <c r="AV57" s="5">
        <f>INDEX(CEA_SHOCK_SOLVE($A$12:$D$15,C57,D57,B57,,,,,,$E$13:$E$15,$B$5,$B$6,$B$7,,,$A$24:$A$50,$C$24:$C$33,$B$4,$B$8,FALSE),1,43)</f>
      </c>
      <c r="AW57" s="5">
        <f>INDEX(CEA_SHOCK_SOLVE($A$12:$D$15,C57,D57,B57,,,,,,$E$13:$E$15,$B$5,$B$6,$B$7,,,$A$24:$A$50,$C$24:$C$33,$B$4,$B$8,FALSE),1,44)</f>
      </c>
      <c r="AX57" s="5">
        <f>INDEX(CEA_SHOCK_SOLVE($A$12:$D$15,C57,D57,B57,,,,,,$E$13:$E$15,$B$5,$B$6,$B$7,,,$A$24:$A$50,$C$24:$C$33,$B$4,$B$8,FALSE),1,45)</f>
      </c>
      <c r="AY57" s="5">
        <f>INDEX(CEA_SHOCK_SOLVE($A$12:$D$15,C57,D57,B57,,,,,,$E$13:$E$15,$B$5,$B$6,$B$7,,,$A$24:$A$50,$C$24:$C$33,$B$4,$B$8,FALSE),1,46)</f>
      </c>
      <c r="AZ57" s="5">
        <f>INDEX(CEA_SHOCK_SOLVE($A$12:$D$15,C57,D57,B57,,,,,,$E$13:$E$15,$B$5,$B$6,$B$7,,,$A$24:$A$50,$C$24:$C$33,$B$4,$B$8,FALSE),1,47)</f>
      </c>
      <c r="BA57" s="5">
        <f>INDEX(CEA_SHOCK_SOLVE($A$12:$D$15,C57,D57,B57,,,,,,$E$13:$E$15,$B$5,$B$6,$B$7,,,$A$24:$A$50,$C$24:$C$33,$B$4,$B$8,FALSE),1,48)</f>
      </c>
      <c r="BB57" s="5">
        <f>INDEX(CEA_SHOCK_SOLVE($A$12:$D$15,C57,D57,B57,,,,,,$E$13:$E$15,$B$5,$B$6,$B$7,,,$A$24:$A$50,$C$24:$C$33,$B$4,$B$8,FALSE),1,49)</f>
      </c>
      <c r="BC57" s="5">
        <f>INDEX(CEA_SHOCK_SOLVE($A$12:$D$15,C57,D57,B57,,,,,,$E$13:$E$15,$B$5,$B$6,$B$7,,,$A$24:$A$50,$C$24:$C$33,$B$4,$B$8,FALSE),1,50)</f>
      </c>
      <c r="BD57" s="5">
        <f>INDEX(CEA_SHOCK_SOLVE($A$12:$D$15,C57,D57,B57,,,,,,$E$13:$E$15,$B$5,$B$6,$B$7,,,$A$24:$A$50,$C$24:$C$33,$B$4,$B$8,FALSE),1,51)</f>
      </c>
      <c r="BE57" s="5">
        <f>INDEX(CEA_SHOCK_SOLVE($A$12:$D$15,C57,D57,B57,,,,,,$E$13:$E$15,$B$5,$B$6,$B$7,,,$A$24:$A$50,$C$24:$C$33,$B$4,$B$8,FALSE),1,52)</f>
      </c>
      <c r="BF57" s="5">
        <f>INDEX(CEA_SHOCK_SOLVE($A$12:$D$15,C57,D57,B57,,,,,,$E$13:$E$15,$B$5,$B$6,$B$7,,,$A$24:$A$50,$C$24:$C$33,$B$4,$B$8,FALSE),1,53)</f>
      </c>
      <c r="BG57" s="5">
        <f>INDEX(CEA_SHOCK_SOLVE($A$12:$D$15,C57,D57,B57,,,,,,$E$13:$E$15,$B$5,$B$6,$B$7,,,$A$24:$A$50,$C$24:$C$33,$B$4,$B$8,FALSE),1,54)</f>
      </c>
      <c r="BH57" s="5">
        <f>IFERROR(INDEX(CEA_SHOCK_SOLVE($A$12:$D$15,C57,D57,B57,,,,,,$E$13:$E$15,$B$5,$B$6,$B$7,,,$A$41:$A$50,,$B$4,$B$8,FALSE),1,4),"")</f>
      </c>
      <c r="BI57" s="5">
        <f>IFERROR(INDEX(CEA_SHOCK_SOLVE($A$12:$D$15,C57,D57,B57,,,,,,$E$13:$E$15,$B$5,$B$6,$B$7,,,$A$41:$A$50,,$B$4,$B$8,FALSE),1,5),"")</f>
      </c>
      <c r="BJ57" s="5">
        <f>IFERROR(INDEX(CEA_SHOCK_SOLVE($A$12:$D$15,C57,D57,B57,,,,,,$E$13:$E$15,$B$5,$B$6,$B$7,,,$A$41:$A$50,,$B$4,$B$8,FALSE),1,6),"")</f>
      </c>
      <c r="BK57" s="5">
        <f>IFERROR(INDEX(CEA_SHOCK_SOLVE($A$12:$D$15,C57,D57,B57,,,,,,$E$13:$E$15,$B$5,$B$6,$B$7,,,$A$41:$A$50,,$B$4,$B$8,FALSE),1,7),"")</f>
      </c>
      <c r="BL57" s="5">
        <f>IFERROR(INDEX(CEA_SHOCK_SOLVE($A$12:$D$15,C57,D57,B57,,,,,,$E$13:$E$15,$B$5,$B$6,$B$7,,,$A$41:$A$50,,$B$4,$B$8,FALSE),1,8),"")</f>
      </c>
      <c r="BM57" s="5">
        <f>IFERROR(INDEX(CEA_SHOCK_SOLVE($A$12:$D$15,C57,D57,B57,,,,,,$E$13:$E$15,$B$5,$B$6,$B$7,,,$A$41:$A$50,,$B$4,$B$8,FALSE),1,9),"")</f>
      </c>
      <c r="BN57" s="5">
        <f>IFERROR(INDEX(CEA_SHOCK_SOLVE($A$12:$D$15,C57,D57,B57,,,,,,$E$13:$E$15,$B$5,$B$6,$B$7,,,$A$41:$A$50,,$B$4,$B$8,FALSE),1,10),"")</f>
      </c>
      <c r="BO57" s="5">
        <f>IFERROR(INDEX(CEA_SHOCK_SOLVE($A$12:$D$15,C57,D57,B57,,,,,,$E$13:$E$15,$B$5,$B$6,$B$7,,,$A$41:$A$50,,$B$4,$B$8,FALSE),1,11),"")</f>
      </c>
      <c r="BP57" s="5">
        <f>IFERROR(INDEX(CEA_SHOCK_SOLVE($A$12:$D$15,C57,D57,B57,,,,,,$E$13:$E$15,$B$5,$B$6,$B$7,,,$A$41:$A$50,,$B$4,$B$8,FALSE),1,12),"")</f>
      </c>
      <c r="BQ57" s="5">
        <f>IFERROR(INDEX(CEA_SHOCK_SOLVE($A$12:$D$15,C57,D57,B57,,,,,,$E$13:$E$15,$B$5,$B$6,$B$7,,,$A$41:$A$50,,$B$4,$B$8,FALSE),1,13),"")</f>
      </c>
      <c r="BR57" s="5">
        <f>IFERROR(INDEX(CEA_SHOCK_SOLVE($A$12:$D$15,C57,D57,B57,,,,,,$E$13:$E$15,$B$5,$B$6,$B$7,,,$A$28:$A$28,$C$24:$C$33,$B$4,$B$8,FALSE),1,7),"")</f>
      </c>
      <c r="BS57" s="5">
        <f>IFERROR(INDEX(CEA_SHOCK_SOLVE($A$12:$D$15,C57,D57,B57,,,,,,$E$13:$E$15,$B$5,$B$6,$B$7,,,$A$28:$A$28,$C$24:$C$33,$B$4,$B$8,FALSE),1,8),"")</f>
      </c>
      <c r="BT57" s="5">
        <f>IFERROR(INDEX(CEA_SHOCK_SOLVE($A$12:$D$15,C57,D57,B57,,,,,,$E$13:$E$15,$B$5,$B$6,$B$7,,,$A$28:$A$28,$C$24:$C$33,$B$4,$B$8,FALSE),1,9),"")</f>
      </c>
      <c r="BU57" s="5">
        <f>IFERROR(INDEX(CEA_SHOCK_SOLVE($A$12:$D$15,C57,D57,B57,,,,,,$E$13:$E$15,$B$5,$B$6,$B$7,,,$A$28:$A$28,$C$24:$C$33,$B$4,$B$8,FALSE),1,10),"")</f>
      </c>
      <c r="BV57" s="5">
        <f>IFERROR(INDEX(CEA_SHOCK_SOLVE($A$12:$D$15,C57,D57,B57,,,,,,$E$13:$E$15,$B$5,$B$6,$B$7,,,$A$28:$A$28,$C$24:$C$33,$B$4,$B$8,FALSE),1,11),"")</f>
      </c>
      <c r="BW57" s="5">
        <f>IFERROR(INDEX(CEA_SHOCK_SOLVE($A$12:$D$15,C57,D57,B57,,,,,,$E$13:$E$15,$B$5,$B$6,$B$7,,,$A$28:$A$28,$C$24:$C$33,$B$4,$B$8,FALSE),1,12),"")</f>
      </c>
      <c r="BX57" s="5">
        <f>IFERROR(INDEX(CEA_SHOCK_SOLVE($A$12:$D$15,C57,D57,B57,,,,,,$E$13:$E$15,$B$5,$B$6,$B$7,,,$A$28:$A$28,$C$24:$C$33,$B$4,$B$8,FALSE),1,13),"")</f>
      </c>
      <c r="BY57" s="5">
        <f>IFERROR(INDEX(CEA_SHOCK_SOLVE($A$12:$D$15,C57,D57,B57,,,,,,$E$13:$E$15,$B$5,$B$6,$B$7,,,$A$28:$A$28,$C$24:$C$33,$B$4,$B$8,FALSE),1,14),"")</f>
      </c>
      <c r="BZ57" s="5">
        <f>IFERROR(INDEX(CEA_SHOCK_SOLVE($A$12:$D$15,C57,D57,B57,,,,,,$E$13:$E$15,$B$5,$B$6,$B$7,,,$A$28:$A$28,$C$24:$C$33,$B$4,$B$8,FALSE),1,15),"")</f>
      </c>
      <c r="CA57" s="5">
        <f>IFERROR(INDEX(CEA_SHOCK_SOLVE($A$12:$D$15,C57,D57,B57,,,,,,$E$13:$E$15,$B$5,$B$6,$B$7,,,$A$28:$A$28,$C$24:$C$33,$B$4,$B$8,FALSE),1,16),"")</f>
      </c>
      <c r="CB57" s="5">
        <f>IFERROR(INDEX(CEA_SHOCK_SOLVE($A$12:$D$15,C57,D57,B57,,,,,,$E$13:$E$15,$B$5,$B$6,$B$7,,,$A$28:$A$28,$C$24:$C$33,$B$4,$B$8,FALSE),1,17),"")</f>
      </c>
      <c r="CC57" s="5">
        <f>IFERROR(INDEX(CEA_SHOCK_SOLVE($A$12:$D$15,C57,D57,B57,,,,,,$E$13:$E$15,$B$5,$B$6,$B$7,,,$A$28:$A$28,$C$24:$C$33,$B$4,$B$8,FALSE),1,18),"")</f>
      </c>
      <c r="CD57" s="5">
        <f>IFERROR(INDEX(CEA_SHOCK_SOLVE($A$12:$D$15,C57,D57,B57,,,,,,$E$13:$E$15,$B$5,$B$6,$B$7,,,$A$28:$A$28,$C$24:$C$33,$B$4,$B$8,FALSE),1,19),"")</f>
      </c>
      <c r="CE57" s="5">
        <f>IFERROR(INDEX(CEA_SHOCK_SOLVE($A$12:$D$15,C57,D57,B57,,,,,,$E$13:$E$15,$B$5,$B$6,$B$7,,,$A$28:$A$28,$C$24:$C$33,$B$4,$B$8,FALSE),1,20),"")</f>
      </c>
      <c r="CF57" s="5">
        <f>IFERROR(INDEX(CEA_SHOCK_SOLVE($A$12:$D$15,C57,D57,B57,,,,,,$E$13:$E$15,$B$5,$B$6,$B$7,,,$A$28:$A$28,$C$24:$C$33,$B$4,$B$8,FALSE),1,21),"")</f>
      </c>
      <c r="CG57" s="5">
        <f>IFERROR(INDEX(CEA_SHOCK_SOLVE($A$12:$D$15,C57,D57,B57,,,,,,$E$13:$E$15,$B$5,$B$6,$B$7,,,$A$28:$A$28,$C$24:$C$33,$B$4,$B$8,FALSE),1,22),"")</f>
      </c>
      <c r="CH57" s="5">
        <f>IFERROR(INDEX(CEA_SHOCK_SOLVE($A$12:$D$15,C57,D57,B57,,,,,,$E$13:$E$15,$B$5,$B$6,$B$7,,,$A$28:$A$28,$C$24:$C$33,$B$4,$B$8,FALSE),1,23),"")</f>
      </c>
      <c r="CI57" s="5">
        <f>IFERROR(INDEX(CEA_SHOCK_SOLVE($A$12:$D$15,C57,D57,B57,,,,,,$E$13:$E$15,$B$5,$B$6,$B$7,,,$A$28:$A$28,$C$24:$C$33,$B$4,$B$8,FALSE),1,24),"")</f>
      </c>
      <c r="CJ57" s="5">
        <f>IFERROR(INDEX(CEA_SHOCK_SOLVE($A$12:$D$15,C57,D57,B57,,,,,,$E$13:$E$15,$B$5,$B$6,$B$7,,,$A$28:$A$28,$C$24:$C$33,$B$4,$B$8,FALSE),1,25),"")</f>
      </c>
      <c r="CK57" s="5">
        <f>IFERROR(INDEX(CEA_SHOCK_SOLVE($A$12:$D$15,C57,D57,B57,,,,,,$E$13:$E$15,$B$5,$B$6,$B$7,,,$A$28:$A$28,$C$24:$C$33,$B$4,$B$8,FALSE),1,26),"")</f>
      </c>
      <c r="CL57" s="5">
        <f>IFERROR(INDEX(CEA_SHOCK_SOLVE($A$12:$D$15,C57,D57,B57,,,,,,$E$13:$E$15,$B$5,$B$6,$B$7,,,$A$28:$A$28,$C$24:$C$33,$B$4,$B$8,FALSE),1,27),"")</f>
      </c>
      <c r="CM57" s="5">
        <f>IFERROR(INDEX(CEA_SHOCK_SOLVE($A$12:$D$15,C57,D57,B57,,,,,,$E$13:$E$15,$B$5,$B$6,$B$7,,,$A$28:$A$28,$C$24:$C$33,$B$4,$B$8,FALSE),1,28),"")</f>
      </c>
      <c r="CN57" s="5">
        <f>IFERROR(INDEX(CEA_SHOCK_SOLVE($A$12:$D$15,C57,D57,B57,,,,,,$E$13:$E$15,$B$5,$B$6,$B$7,,,$A$28:$A$28,$C$24:$C$33,$B$4,$B$8,FALSE),1,29),"")</f>
      </c>
      <c r="CO57" s="5">
        <f>IFERROR(INDEX(CEA_SHOCK_SOLVE($A$12:$D$15,C57,D57,B57,,,,,,$E$13:$E$15,$B$5,$B$6,$B$7,,,$A$28:$A$28,$C$24:$C$33,$B$4,$B$8,FALSE),1,30),"")</f>
      </c>
      <c r="CP57" s="5">
        <f>IFERROR(INDEX(CEA_SHOCK_SOLVE($A$12:$D$15,C57,D57,B57,,,,,,$E$13:$E$15,$B$5,$B$6,$B$7,,,$A$28:$A$28,$C$24:$C$33,$B$4,$B$8,FALSE),1,31),"")</f>
      </c>
      <c r="CQ57" s="5">
        <f>IFERROR(INDEX(CEA_SHOCK_SOLVE($A$12:$D$15,C57,D57,B57,,,,,,$E$13:$E$15,$B$5,$B$6,$B$7,,,$A$28:$A$28,$C$24:$C$33,$B$4,$B$8,FALSE),1,32),"")</f>
      </c>
      <c r="CR57" s="5">
        <f>IFERROR(INDEX(CEA_SHOCK_SOLVE($A$12:$D$15,C57,D57,B57,,,,,,$E$13:$E$15,$B$5,$B$6,$B$7,,,$A$28:$A$28,$C$24:$C$33,$B$4,$B$8,FALSE),1,33),"")</f>
      </c>
      <c r="CS57" s="5">
        <f>IFERROR(INDEX(CEA_SHOCK_SOLVE($A$12:$D$15,C57,D57,B57,,,,,,$E$13:$E$15,$B$5,$B$6,$B$7,,,$A$28:$A$28,$C$24:$C$33,$B$4,$B$8,FALSE),1,34),"")</f>
      </c>
      <c r="CT57" s="5">
        <f>IFERROR(INDEX(CEA_SHOCK_SOLVE($A$12:$D$15,C57,D57,B57,,,,,,$E$13:$E$15,$B$5,$B$6,$B$7,,,$A$28:$A$28,$C$24:$C$33,$B$4,$B$8,FALSE),1,35),"")</f>
      </c>
      <c r="CU57" s="5">
        <f>IFERROR(INDEX(CEA_SHOCK_SOLVE($A$12:$D$15,C57,D57,B57,,,,,,$E$13:$E$15,$B$5,$B$6,$B$7,,,$A$28:$A$28,$C$24:$C$33,$B$4,$B$8,FALSE),1,36),"")</f>
      </c>
      <c r="CV57" s="5">
        <f>IFERROR(INDEX(CEA_SHOCK_SOLVE($A$12:$D$15,C57,D57,B57,,,,,,$E$13:$E$15,$B$5,$B$6,$B$7,,,$A$28:$A$28,$C$24:$C$33,$B$4,$B$8,FALSE),1,37),"")</f>
      </c>
      <c r="CW57" s="5">
        <f>IFERROR(INDEX(CEA_SHOCK_SOLVE($A$12:$D$15,C57,D57,B57,,,,,,$E$13:$E$15,$B$5,$B$6,$B$7,,,$A$28:$A$28,$C$24:$C$33,$B$4,$B$8,FALSE),1,38),"")</f>
      </c>
      <c r="CX57" s="5">
        <f>IFERROR(INDEX(CEA_SHOCK_SOLVE($A$12:$D$15,C57,D57,B57,,,,,,$E$13:$E$15,$B$5,$B$6,$B$7,,,$A$28:$A$28,$C$24:$C$33,$B$4,$B$8,FALSE),1,39),"")</f>
      </c>
      <c r="CY57" s="5">
        <f>IFERROR(INDEX(CEA_SHOCK_SOLVE($A$12:$D$15,C57,D57,B57,,,,,,$E$13:$E$15,$B$5,$B$6,$B$7,,,$A$28:$A$28,$C$24:$C$33,$B$4,$B$8,FALSE),1,40),"")</f>
      </c>
      <c r="CZ57" s="5">
        <f>IFERROR(INDEX(CEA_SHOCK_SOLVE($A$12:$D$15,C57,D57,B57,,,,,,$E$13:$E$15,$B$5,$B$6,$B$7,,,$A$28:$A$28,$C$24:$C$33,$B$4,$B$8,FALSE),1,41),"")</f>
      </c>
      <c r="DA57" s="5">
        <f>IFERROR(INDEX(CEA_SHOCK_SOLVE($A$12:$D$15,C57,D57,B57,,,,,,$E$13:$E$15,$B$5,$B$6,$B$7,,,$A$28:$A$28,$C$24:$C$33,$B$4,$B$8,FALSE),1,42),"")</f>
      </c>
      <c r="DB57" s="5">
        <f>IFERROR(INDEX(CEA_SHOCK_SOLVE($A$12:$D$15,C57,D57,B57,,,,,,$E$13:$E$15,$B$5,$B$6,$B$7,,,$A$28:$A$28,$C$24:$C$33,$B$4,$B$8,FALSE),1,43),"")</f>
      </c>
      <c r="DC57" s="5">
        <f>IFERROR(INDEX(CEA_SHOCK_SOLVE($A$12:$D$15,C57,D57,B57,,,,,,$E$13:$E$15,$B$5,$B$6,$B$7,,,$A$28:$A$28,$C$24:$C$33,$B$4,$B$8,FALSE),1,44),"")</f>
      </c>
      <c r="DD57" s="5">
        <f>IFERROR(INDEX(CEA_SHOCK_SOLVE($A$12:$D$15,C57,D57,B57,,,,,,$E$13:$E$15,$B$5,$B$6,$B$7,,,$A$28:$A$28,$C$24:$C$33,$B$4,$B$8,FALSE),1,45),"")</f>
      </c>
      <c r="DE57" s="5">
        <f>IFERROR(INDEX(CEA_SHOCK_SOLVE($A$12:$D$15,C57,D57,B57,,,,,,$E$13:$E$15,$B$5,$B$6,$B$7,,,$A$28:$A$28,$C$24:$C$33,$B$4,$B$8,FALSE),1,46),"")</f>
      </c>
      <c r="DF57" s="5">
        <f>IFERROR(INDEX(CEA_SHOCK_SOLVE($A$12:$D$15,C57,D57,B57,,,,,,$E$13:$E$15,$B$5,$B$6,$B$7,,,$A$28:$A$28,$C$24:$C$33,$B$4,$B$8,FALSE),1,47),"")</f>
      </c>
      <c r="DG57" s="5">
        <f>IFERROR(INDEX(CEA_SHOCK_SOLVE($A$12:$D$15,C57,D57,B57,,,,,,$E$13:$E$15,$B$5,$B$6,$B$7,,,$A$28:$A$28,$C$24:$C$33,$B$4,$B$8,FALSE),1,48),"")</f>
      </c>
      <c r="DH57" s="5">
        <f>IFERROR(INDEX(CEA_SHOCK_SOLVE($A$12:$D$15,C57,D57,B57,,,,,,$E$13:$E$15,$B$5,$B$6,$B$7,,,$A$28:$A$28,$C$24:$C$33,$B$4,$B$8,FALSE),1,49),"")</f>
      </c>
      <c r="DI57" s="5">
        <f>IFERROR(INDEX(CEA_SHOCK_SOLVE($A$12:$D$15,C57,D57,B57,,,,,,$E$13:$E$15,$B$5,$B$6,$B$7,,,$A$28:$A$28,$C$24:$C$33,$B$4,$B$8,FALSE),1,50),"")</f>
      </c>
      <c r="DJ57" s="5">
        <f>IFERROR(INDEX(CEA_SHOCK_SOLVE($A$12:$D$15,C57,D57,B57,,,,,,$E$13:$E$15,$B$5,$B$6,$B$7,,,$A$28:$A$28,$C$24:$C$33,$B$4,$B$8,FALSE),1,51),"")</f>
      </c>
      <c r="DK57" s="5">
        <f>IFERROR(INDEX(CEA_SHOCK_SOLVE($A$12:$D$15,C57,D57,B57,,,,,,$E$13:$E$15,$B$5,$B$6,$B$7,,,$A$28:$A$28,$C$24:$C$33,$B$4,$B$8,FALSE),1,52),"")</f>
      </c>
      <c r="DL57" s="5">
        <f>IFERROR(INDEX(CEA_SHOCK_SOLVE($A$12:$D$15,C57,D57,B57,,,,,,$E$13:$E$15,$B$5,$B$6,$B$7,,,$A$28:$A$28,$C$24:$C$33,$B$4,$B$8,FALSE),1,53),"")</f>
      </c>
      <c r="DM57" s="5">
        <f>IFERROR(INDEX(CEA_SHOCK_SOLVE($A$12:$D$15,C57,D57,B57,,,,,,$E$13:$E$15,$B$5,$B$6,$B$7,,,$A$28:$A$28,$C$24:$C$33,$B$4,$B$8,FALSE),1,54),"")</f>
      </c>
      <c r="DN57" s="5">
        <f>IFERROR(INDEX(CEA_SHOCK_SOLVE($A$12:$D$15,C57,D57,B57,,,,,,$E$13:$E$15,$B$5,$B$6,$B$7,,,$A$28:$A$28,$C$24:$C$33,$B$4,$B$8,FALSE),1,55),"")</f>
      </c>
      <c r="DO57" s="5">
        <f>IFERROR(INDEX(CEA_SHOCK_SOLVE($A$12:$D$15,C57,D57,B57,,,,,,$E$13:$E$15,$B$5,$B$6,$B$7,,,$A$28:$A$28,$C$24:$C$33,$B$4,$B$8,FALSE),1,56),"")</f>
      </c>
      <c r="DP57" s="5">
        <f>IFERROR(INDEX(CEA_SHOCK_SOLVE($A$12:$D$15,C57,D57,B57,,,,,,$E$13:$E$15,$B$5,$B$6,$B$7,,,$A$28:$A$28,$C$24:$C$33,$B$4,$B$8,FALSE),1,57),"")</f>
      </c>
      <c r="DQ57" s="5">
        <f>IFERROR(INDEX(CEA_SHOCK_SOLVE($A$12:$D$15,C57,D57,B57,,,,,,$E$13:$E$15,$B$5,$B$6,$B$7,,,$A$28:$A$28,$C$24:$C$33,$B$4,$B$8,FALSE),1,58),"")</f>
      </c>
      <c r="DR57" s="5">
        <f>IFERROR(INDEX(CEA_SHOCK_SOLVE($A$12:$D$15,C57,D57,B57,,,,,,$E$13:$E$15,$B$5,$B$6,$B$7,,,$A$28:$A$28,$C$24:$C$33,$B$4,$B$8,FALSE),1,59),"")</f>
      </c>
      <c r="DS57" s="5">
        <f>IFERROR(INDEX(CEA_SHOCK_SOLVE($A$12:$D$15,C57,D57,B57,,,,,,$E$13:$E$15,$B$5,$B$6,$B$7,,,$A$28:$A$28,$C$24:$C$33,$B$4,$B$8,FALSE),1,60),"")</f>
      </c>
      <c r="DT57" s="5">
        <f>IFERROR(INDEX(CEA_SHOCK_SOLVE($A$12:$D$15,C57,D57,B57,,,,,,$E$13:$E$15,$B$5,$B$6,$B$7,,,$A$28:$A$28,$C$24:$C$33,$B$4,$B$8,FALSE),1,61),"")</f>
      </c>
      <c r="DU57" s="5">
        <f>IFERROR(INDEX(CEA_SHOCK_SOLVE($A$12:$D$15,C57,D57,B57,,,,,,$E$13:$E$15,$B$5,$B$6,$B$7,,,$A$28:$A$28,$C$24:$C$33,$B$4,$B$8,FALSE),1,62),"")</f>
      </c>
      <c r="DV57" s="5">
        <f>IFERROR(INDEX(CEA_SHOCK_SOLVE($A$12:$D$15,C57,D57,B57,,,,,,$E$13:$E$15,$B$5,$B$6,$B$7,,,$A$28:$A$28,$C$24:$C$33,$B$4,$B$8,FALSE),1,63),"")</f>
      </c>
      <c r="DW57" s="5">
        <f>IFERROR(INDEX(CEA_SHOCK_SOLVE($A$12:$D$15,C57,D57,B57,,,,,,$E$13:$E$15,$B$5,$B$6,$B$7,,,$A$28:$A$28,$C$24:$C$33,$B$4,$B$8,FALSE),1,64),"")</f>
      </c>
      <c r="DX57" s="5">
        <f>IFERROR(INDEX(CEA_SHOCK_SOLVE($A$12:$D$15,C57,D57,B57,,,,,,$E$13:$E$15,$B$5,$B$6,$B$7,,,$A$28:$A$28,$C$24:$C$33,$B$4,$B$8,FALSE),1,65),"")</f>
      </c>
      <c r="DY57" s="5">
        <f>IFERROR(INDEX(CEA_SHOCK_SOLVE($A$12:$D$15,C57,D57,B57,,,,,,$E$13:$E$15,$B$5,$B$6,$B$7,,,$A$28:$A$28,$C$24:$C$33,$B$4,$B$8,FALSE),1,66),"")</f>
      </c>
    </row>
    <row r="58" spans="1:149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INDEX(CEA_SHOCK_SOLVE($A$12:$D$15,C58,D58,B58,,,,,,$E$13:$E$15,$B$5,$B$6,$B$7,,,$A$24:$A$50,$C$24:$C$33,$B$4,$B$8,FALSE),1,1)</f>
      </c>
      <c r="G58" s="5">
        <f>INDEX(CEA_SHOCK_SOLVE($A$12:$D$15,C58,D58,B58,,,,,,$E$13:$E$15,$B$5,$B$6,$B$7,,,$A$24:$A$50,$C$24:$C$33,$B$4,$B$8,FALSE),1,2)</f>
      </c>
      <c r="H58" s="5">
        <f>INDEX(CEA_SHOCK_SOLVE($A$12:$D$15,C58,D58,B58,,,,,,$E$13:$E$15,$B$5,$B$6,$B$7,,,$A$24:$A$50,$C$24:$C$33,$B$4,$B$8,FALSE),1,3)</f>
      </c>
      <c r="I58" s="5">
        <f>INDEX(CEA_SHOCK_SOLVE($A$12:$D$15,C58,D58,B58,,,,,,$E$13:$E$15,$B$5,$B$6,$B$7,,,$A$24:$A$50,$C$24:$C$33,$B$4,$B$8,FALSE),1,4)</f>
      </c>
      <c r="J58" s="5">
        <f>INDEX(CEA_SHOCK_SOLVE($A$12:$D$15,C58,D58,B58,,,,,,$E$13:$E$15,$B$5,$B$6,$B$7,,,$A$24:$A$50,$C$24:$C$33,$B$4,$B$8,FALSE),1,5)</f>
      </c>
      <c r="K58" s="5">
        <f>INDEX(CEA_SHOCK_SOLVE($A$12:$D$15,C58,D58,B58,,,,,,$E$13:$E$15,$B$5,$B$6,$B$7,,,$A$24:$A$50,$C$24:$C$33,$B$4,$B$8,FALSE),1,6)</f>
      </c>
      <c r="L58" s="5">
        <f>INDEX(CEA_SHOCK_SOLVE($A$12:$D$15,C58,D58,B58,,,,,,$E$13:$E$15,$B$5,$B$6,$B$7,,,$A$24:$A$50,$C$24:$C$33,$B$4,$B$8,FALSE),1,7)</f>
      </c>
      <c r="M58" s="5">
        <f>INDEX(CEA_SHOCK_SOLVE($A$12:$D$15,C58,D58,B58,,,,,,$E$13:$E$15,$B$5,$B$6,$B$7,,,$A$24:$A$50,$C$24:$C$33,$B$4,$B$8,FALSE),1,8)</f>
      </c>
      <c r="N58" s="5">
        <f>INDEX(CEA_SHOCK_SOLVE($A$12:$D$15,C58,D58,B58,,,,,,$E$13:$E$15,$B$5,$B$6,$B$7,,,$A$24:$A$50,$C$24:$C$33,$B$4,$B$8,FALSE),1,9)</f>
      </c>
      <c r="O58" s="5">
        <f>INDEX(CEA_SHOCK_SOLVE($A$12:$D$15,C58,D58,B58,,,,,,$E$13:$E$15,$B$5,$B$6,$B$7,,,$A$24:$A$50,$C$24:$C$33,$B$4,$B$8,FALSE),1,10)</f>
      </c>
      <c r="P58" s="5">
        <f>INDEX(CEA_SHOCK_SOLVE($A$12:$D$15,C58,D58,B58,,,,,,$E$13:$E$15,$B$5,$B$6,$B$7,,,$A$24:$A$50,$C$24:$C$33,$B$4,$B$8,FALSE),1,11)</f>
      </c>
      <c r="Q58" s="5">
        <f>INDEX(CEA_SHOCK_SOLVE($A$12:$D$15,C58,D58,B58,,,,,,$E$13:$E$15,$B$5,$B$6,$B$7,,,$A$24:$A$50,$C$24:$C$33,$B$4,$B$8,FALSE),1,12)</f>
      </c>
      <c r="R58" s="5">
        <f>INDEX(CEA_SHOCK_SOLVE($A$12:$D$15,C58,D58,B58,,,,,,$E$13:$E$15,$B$5,$B$6,$B$7,,,$A$24:$A$50,$C$24:$C$33,$B$4,$B$8,FALSE),1,13)</f>
      </c>
      <c r="S58" s="5">
        <f>INDEX(CEA_SHOCK_SOLVE($A$12:$D$15,C58,D58,B58,,,,,,$E$13:$E$15,$B$5,$B$6,$B$7,,,$A$24:$A$50,$C$24:$C$33,$B$4,$B$8,FALSE),1,14)</f>
      </c>
      <c r="T58" s="5">
        <f>INDEX(CEA_SHOCK_SOLVE($A$12:$D$15,C58,D58,B58,,,,,,$E$13:$E$15,$B$5,$B$6,$B$7,,,$A$24:$A$50,$C$24:$C$33,$B$4,$B$8,FALSE),1,15)</f>
      </c>
      <c r="U58" s="5">
        <f>INDEX(CEA_SHOCK_SOLVE($A$12:$D$15,C58,D58,B58,,,,,,$E$13:$E$15,$B$5,$B$6,$B$7,,,$A$24:$A$50,$C$24:$C$33,$B$4,$B$8,FALSE),1,16)</f>
      </c>
      <c r="V58" s="5">
        <f>INDEX(CEA_SHOCK_SOLVE($A$12:$D$15,C58,D58,B58,,,,,,$E$13:$E$15,$B$5,$B$6,$B$7,,,$A$24:$A$50,$C$24:$C$33,$B$4,$B$8,FALSE),1,17)</f>
      </c>
      <c r="W58" s="5">
        <f>INDEX(CEA_SHOCK_SOLVE($A$12:$D$15,C58,D58,B58,,,,,,$E$13:$E$15,$B$5,$B$6,$B$7,,,$A$24:$A$50,$C$24:$C$33,$B$4,$B$8,FALSE),1,18)</f>
      </c>
      <c r="X58" s="5">
        <f>INDEX(CEA_SHOCK_SOLVE($A$12:$D$15,C58,D58,B58,,,,,,$E$13:$E$15,$B$5,$B$6,$B$7,,,$A$24:$A$50,$C$24:$C$33,$B$4,$B$8,FALSE),1,19)</f>
      </c>
      <c r="Y58" s="5">
        <f>INDEX(CEA_SHOCK_SOLVE($A$12:$D$15,C58,D58,B58,,,,,,$E$13:$E$15,$B$5,$B$6,$B$7,,,$A$24:$A$50,$C$24:$C$33,$B$4,$B$8,FALSE),1,20)</f>
      </c>
      <c r="Z58" s="5">
        <f>INDEX(CEA_SHOCK_SOLVE($A$12:$D$15,C58,D58,B58,,,,,,$E$13:$E$15,$B$5,$B$6,$B$7,,,$A$24:$A$50,$C$24:$C$33,$B$4,$B$8,FALSE),1,21)</f>
      </c>
      <c r="AA58" s="5">
        <f>INDEX(CEA_SHOCK_SOLVE($A$12:$D$15,C58,D58,B58,,,,,,$E$13:$E$15,$B$5,$B$6,$B$7,,,$A$24:$A$50,$C$24:$C$33,$B$4,$B$8,FALSE),1,22)</f>
      </c>
      <c r="AB58" s="5">
        <f>INDEX(CEA_SHOCK_SOLVE($A$12:$D$15,C58,D58,B58,,,,,,$E$13:$E$15,$B$5,$B$6,$B$7,,,$A$24:$A$50,$C$24:$C$33,$B$4,$B$8,FALSE),1,23)</f>
      </c>
      <c r="AC58" s="5">
        <f>INDEX(CEA_SHOCK_SOLVE($A$12:$D$15,C58,D58,B58,,,,,,$E$13:$E$15,$B$5,$B$6,$B$7,,,$A$24:$A$50,$C$24:$C$33,$B$4,$B$8,FALSE),1,24)</f>
      </c>
      <c r="AD58" s="5">
        <f>INDEX(CEA_SHOCK_SOLVE($A$12:$D$15,C58,D58,B58,,,,,,$E$13:$E$15,$B$5,$B$6,$B$7,,,$A$24:$A$50,$C$24:$C$33,$B$4,$B$8,FALSE),1,25)</f>
      </c>
      <c r="AE58" s="5">
        <f>INDEX(CEA_SHOCK_SOLVE($A$12:$D$15,C58,D58,B58,,,,,,$E$13:$E$15,$B$5,$B$6,$B$7,,,$A$24:$A$50,$C$24:$C$33,$B$4,$B$8,FALSE),1,26)</f>
      </c>
      <c r="AF58" s="5">
        <f>INDEX(CEA_SHOCK_SOLVE($A$12:$D$15,C58,D58,B58,,,,,,$E$13:$E$15,$B$5,$B$6,$B$7,,,$A$24:$A$50,$C$24:$C$33,$B$4,$B$8,FALSE),1,27)</f>
      </c>
      <c r="AG58" s="5">
        <f>INDEX(CEA_SHOCK_SOLVE($A$12:$D$15,C58,D58,B58,,,,,,$E$13:$E$15,$B$5,$B$6,$B$7,,,$A$24:$A$50,$C$24:$C$33,$B$4,$B$8,FALSE),1,28)</f>
      </c>
      <c r="AH58" s="5">
        <f>INDEX(CEA_SHOCK_SOLVE($A$12:$D$15,C58,D58,B58,,,,,,$E$13:$E$15,$B$5,$B$6,$B$7,,,$A$24:$A$50,$C$24:$C$33,$B$4,$B$8,FALSE),1,29)</f>
      </c>
      <c r="AI58" s="5">
        <f>INDEX(CEA_SHOCK_SOLVE($A$12:$D$15,C58,D58,B58,,,,,,$E$13:$E$15,$B$5,$B$6,$B$7,,,$A$24:$A$50,$C$24:$C$33,$B$4,$B$8,FALSE),1,30)</f>
      </c>
      <c r="AJ58" s="5">
        <f>INDEX(CEA_SHOCK_SOLVE($A$12:$D$15,C58,D58,B58,,,,,,$E$13:$E$15,$B$5,$B$6,$B$7,,,$A$24:$A$50,$C$24:$C$33,$B$4,$B$8,FALSE),1,31)</f>
      </c>
      <c r="AK58" s="5">
        <f>INDEX(CEA_SHOCK_SOLVE($A$12:$D$15,C58,D58,B58,,,,,,$E$13:$E$15,$B$5,$B$6,$B$7,,,$A$24:$A$50,$C$24:$C$33,$B$4,$B$8,FALSE),1,32)</f>
      </c>
      <c r="AL58" s="5">
        <f>INDEX(CEA_SHOCK_SOLVE($A$12:$D$15,C58,D58,B58,,,,,,$E$13:$E$15,$B$5,$B$6,$B$7,,,$A$24:$A$50,$C$24:$C$33,$B$4,$B$8,FALSE),1,33)</f>
      </c>
      <c r="AM58" s="5">
        <f>INDEX(CEA_SHOCK_SOLVE($A$12:$D$15,C58,D58,B58,,,,,,$E$13:$E$15,$B$5,$B$6,$B$7,,,$A$24:$A$50,$C$24:$C$33,$B$4,$B$8,FALSE),1,34)</f>
      </c>
      <c r="AN58" s="5">
        <f>INDEX(CEA_SHOCK_SOLVE($A$12:$D$15,C58,D58,B58,,,,,,$E$13:$E$15,$B$5,$B$6,$B$7,,,$A$24:$A$50,$C$24:$C$33,$B$4,$B$8,FALSE),1,35)</f>
      </c>
      <c r="AO58" s="5">
        <f>INDEX(CEA_SHOCK_SOLVE($A$12:$D$15,C58,D58,B58,,,,,,$E$13:$E$15,$B$5,$B$6,$B$7,,,$A$24:$A$50,$C$24:$C$33,$B$4,$B$8,FALSE),1,36)</f>
      </c>
      <c r="AP58" s="5">
        <f>INDEX(CEA_SHOCK_SOLVE($A$12:$D$15,C58,D58,B58,,,,,,$E$13:$E$15,$B$5,$B$6,$B$7,,,$A$24:$A$50,$C$24:$C$33,$B$4,$B$8,FALSE),1,37)</f>
      </c>
      <c r="AQ58" s="5">
        <f>INDEX(CEA_SHOCK_SOLVE($A$12:$D$15,C58,D58,B58,,,,,,$E$13:$E$15,$B$5,$B$6,$B$7,,,$A$24:$A$50,$C$24:$C$33,$B$4,$B$8,FALSE),1,38)</f>
      </c>
      <c r="AR58" s="5">
        <f>INDEX(CEA_SHOCK_SOLVE($A$12:$D$15,C58,D58,B58,,,,,,$E$13:$E$15,$B$5,$B$6,$B$7,,,$A$24:$A$50,$C$24:$C$33,$B$4,$B$8,FALSE),1,39)</f>
      </c>
      <c r="AS58" s="5">
        <f>INDEX(CEA_SHOCK_SOLVE($A$12:$D$15,C58,D58,B58,,,,,,$E$13:$E$15,$B$5,$B$6,$B$7,,,$A$24:$A$50,$C$24:$C$33,$B$4,$B$8,FALSE),1,40)</f>
      </c>
      <c r="AT58" s="5">
        <f>INDEX(CEA_SHOCK_SOLVE($A$12:$D$15,C58,D58,B58,,,,,,$E$13:$E$15,$B$5,$B$6,$B$7,,,$A$24:$A$50,$C$24:$C$33,$B$4,$B$8,FALSE),1,41)</f>
      </c>
      <c r="AU58" s="5">
        <f>INDEX(CEA_SHOCK_SOLVE($A$12:$D$15,C58,D58,B58,,,,,,$E$13:$E$15,$B$5,$B$6,$B$7,,,$A$24:$A$50,$C$24:$C$33,$B$4,$B$8,FALSE),1,42)</f>
      </c>
      <c r="AV58" s="5">
        <f>INDEX(CEA_SHOCK_SOLVE($A$12:$D$15,C58,D58,B58,,,,,,$E$13:$E$15,$B$5,$B$6,$B$7,,,$A$24:$A$50,$C$24:$C$33,$B$4,$B$8,FALSE),1,43)</f>
      </c>
      <c r="AW58" s="5">
        <f>INDEX(CEA_SHOCK_SOLVE($A$12:$D$15,C58,D58,B58,,,,,,$E$13:$E$15,$B$5,$B$6,$B$7,,,$A$24:$A$50,$C$24:$C$33,$B$4,$B$8,FALSE),1,44)</f>
      </c>
      <c r="AX58" s="5">
        <f>INDEX(CEA_SHOCK_SOLVE($A$12:$D$15,C58,D58,B58,,,,,,$E$13:$E$15,$B$5,$B$6,$B$7,,,$A$24:$A$50,$C$24:$C$33,$B$4,$B$8,FALSE),1,45)</f>
      </c>
      <c r="AY58" s="5">
        <f>INDEX(CEA_SHOCK_SOLVE($A$12:$D$15,C58,D58,B58,,,,,,$E$13:$E$15,$B$5,$B$6,$B$7,,,$A$24:$A$50,$C$24:$C$33,$B$4,$B$8,FALSE),1,46)</f>
      </c>
      <c r="AZ58" s="5">
        <f>INDEX(CEA_SHOCK_SOLVE($A$12:$D$15,C58,D58,B58,,,,,,$E$13:$E$15,$B$5,$B$6,$B$7,,,$A$24:$A$50,$C$24:$C$33,$B$4,$B$8,FALSE),1,47)</f>
      </c>
      <c r="BA58" s="5">
        <f>INDEX(CEA_SHOCK_SOLVE($A$12:$D$15,C58,D58,B58,,,,,,$E$13:$E$15,$B$5,$B$6,$B$7,,,$A$24:$A$50,$C$24:$C$33,$B$4,$B$8,FALSE),1,48)</f>
      </c>
      <c r="BB58" s="5">
        <f>INDEX(CEA_SHOCK_SOLVE($A$12:$D$15,C58,D58,B58,,,,,,$E$13:$E$15,$B$5,$B$6,$B$7,,,$A$24:$A$50,$C$24:$C$33,$B$4,$B$8,FALSE),1,49)</f>
      </c>
      <c r="BC58" s="5">
        <f>INDEX(CEA_SHOCK_SOLVE($A$12:$D$15,C58,D58,B58,,,,,,$E$13:$E$15,$B$5,$B$6,$B$7,,,$A$24:$A$50,$C$24:$C$33,$B$4,$B$8,FALSE),1,50)</f>
      </c>
      <c r="BD58" s="5">
        <f>INDEX(CEA_SHOCK_SOLVE($A$12:$D$15,C58,D58,B58,,,,,,$E$13:$E$15,$B$5,$B$6,$B$7,,,$A$24:$A$50,$C$24:$C$33,$B$4,$B$8,FALSE),1,51)</f>
      </c>
      <c r="BE58" s="5">
        <f>INDEX(CEA_SHOCK_SOLVE($A$12:$D$15,C58,D58,B58,,,,,,$E$13:$E$15,$B$5,$B$6,$B$7,,,$A$24:$A$50,$C$24:$C$33,$B$4,$B$8,FALSE),1,52)</f>
      </c>
      <c r="BF58" s="5">
        <f>INDEX(CEA_SHOCK_SOLVE($A$12:$D$15,C58,D58,B58,,,,,,$E$13:$E$15,$B$5,$B$6,$B$7,,,$A$24:$A$50,$C$24:$C$33,$B$4,$B$8,FALSE),1,53)</f>
      </c>
      <c r="BG58" s="5">
        <f>INDEX(CEA_SHOCK_SOLVE($A$12:$D$15,C58,D58,B58,,,,,,$E$13:$E$15,$B$5,$B$6,$B$7,,,$A$24:$A$50,$C$24:$C$33,$B$4,$B$8,FALSE),1,54)</f>
      </c>
      <c r="BH58" s="5">
        <f>IFERROR(INDEX(CEA_SHOCK_SOLVE($A$12:$D$15,C58,D58,B58,,,,,,$E$13:$E$15,$B$5,$B$6,$B$7,,,$A$41:$A$50,,$B$4,$B$8,FALSE),1,4),"")</f>
      </c>
      <c r="BI58" s="5">
        <f>IFERROR(INDEX(CEA_SHOCK_SOLVE($A$12:$D$15,C58,D58,B58,,,,,,$E$13:$E$15,$B$5,$B$6,$B$7,,,$A$41:$A$50,,$B$4,$B$8,FALSE),1,5),"")</f>
      </c>
      <c r="BJ58" s="5">
        <f>IFERROR(INDEX(CEA_SHOCK_SOLVE($A$12:$D$15,C58,D58,B58,,,,,,$E$13:$E$15,$B$5,$B$6,$B$7,,,$A$41:$A$50,,$B$4,$B$8,FALSE),1,6),"")</f>
      </c>
      <c r="BK58" s="5">
        <f>IFERROR(INDEX(CEA_SHOCK_SOLVE($A$12:$D$15,C58,D58,B58,,,,,,$E$13:$E$15,$B$5,$B$6,$B$7,,,$A$41:$A$50,,$B$4,$B$8,FALSE),1,7),"")</f>
      </c>
      <c r="BL58" s="5">
        <f>IFERROR(INDEX(CEA_SHOCK_SOLVE($A$12:$D$15,C58,D58,B58,,,,,,$E$13:$E$15,$B$5,$B$6,$B$7,,,$A$41:$A$50,,$B$4,$B$8,FALSE),1,8),"")</f>
      </c>
      <c r="BM58" s="5">
        <f>IFERROR(INDEX(CEA_SHOCK_SOLVE($A$12:$D$15,C58,D58,B58,,,,,,$E$13:$E$15,$B$5,$B$6,$B$7,,,$A$41:$A$50,,$B$4,$B$8,FALSE),1,9),"")</f>
      </c>
      <c r="BN58" s="5">
        <f>IFERROR(INDEX(CEA_SHOCK_SOLVE($A$12:$D$15,C58,D58,B58,,,,,,$E$13:$E$15,$B$5,$B$6,$B$7,,,$A$41:$A$50,,$B$4,$B$8,FALSE),1,10),"")</f>
      </c>
      <c r="BO58" s="5">
        <f>IFERROR(INDEX(CEA_SHOCK_SOLVE($A$12:$D$15,C58,D58,B58,,,,,,$E$13:$E$15,$B$5,$B$6,$B$7,,,$A$41:$A$50,,$B$4,$B$8,FALSE),1,11),"")</f>
      </c>
      <c r="BP58" s="5">
        <f>IFERROR(INDEX(CEA_SHOCK_SOLVE($A$12:$D$15,C58,D58,B58,,,,,,$E$13:$E$15,$B$5,$B$6,$B$7,,,$A$41:$A$50,,$B$4,$B$8,FALSE),1,12),"")</f>
      </c>
      <c r="BQ58" s="5">
        <f>IFERROR(INDEX(CEA_SHOCK_SOLVE($A$12:$D$15,C58,D58,B58,,,,,,$E$13:$E$15,$B$5,$B$6,$B$7,,,$A$41:$A$50,,$B$4,$B$8,FALSE),1,13),"")</f>
      </c>
      <c r="BR58" s="5">
        <f>IFERROR(INDEX(CEA_SHOCK_SOLVE($A$12:$D$15,C58,D58,B58,,,,,,$E$13:$E$15,$B$5,$B$6,$B$7,,,$A$28:$A$28,$C$24:$C$33,$B$4,$B$8,FALSE),1,7),"")</f>
      </c>
      <c r="BS58" s="5">
        <f>IFERROR(INDEX(CEA_SHOCK_SOLVE($A$12:$D$15,C58,D58,B58,,,,,,$E$13:$E$15,$B$5,$B$6,$B$7,,,$A$28:$A$28,$C$24:$C$33,$B$4,$B$8,FALSE),1,8),"")</f>
      </c>
      <c r="BT58" s="5">
        <f>IFERROR(INDEX(CEA_SHOCK_SOLVE($A$12:$D$15,C58,D58,B58,,,,,,$E$13:$E$15,$B$5,$B$6,$B$7,,,$A$28:$A$28,$C$24:$C$33,$B$4,$B$8,FALSE),1,9),"")</f>
      </c>
      <c r="BU58" s="5">
        <f>IFERROR(INDEX(CEA_SHOCK_SOLVE($A$12:$D$15,C58,D58,B58,,,,,,$E$13:$E$15,$B$5,$B$6,$B$7,,,$A$28:$A$28,$C$24:$C$33,$B$4,$B$8,FALSE),1,10),"")</f>
      </c>
      <c r="BV58" s="5">
        <f>IFERROR(INDEX(CEA_SHOCK_SOLVE($A$12:$D$15,C58,D58,B58,,,,,,$E$13:$E$15,$B$5,$B$6,$B$7,,,$A$28:$A$28,$C$24:$C$33,$B$4,$B$8,FALSE),1,11),"")</f>
      </c>
      <c r="BW58" s="5">
        <f>IFERROR(INDEX(CEA_SHOCK_SOLVE($A$12:$D$15,C58,D58,B58,,,,,,$E$13:$E$15,$B$5,$B$6,$B$7,,,$A$28:$A$28,$C$24:$C$33,$B$4,$B$8,FALSE),1,12),"")</f>
      </c>
      <c r="BX58" s="5">
        <f>IFERROR(INDEX(CEA_SHOCK_SOLVE($A$12:$D$15,C58,D58,B58,,,,,,$E$13:$E$15,$B$5,$B$6,$B$7,,,$A$28:$A$28,$C$24:$C$33,$B$4,$B$8,FALSE),1,13),"")</f>
      </c>
      <c r="BY58" s="5">
        <f>IFERROR(INDEX(CEA_SHOCK_SOLVE($A$12:$D$15,C58,D58,B58,,,,,,$E$13:$E$15,$B$5,$B$6,$B$7,,,$A$28:$A$28,$C$24:$C$33,$B$4,$B$8,FALSE),1,14),"")</f>
      </c>
      <c r="BZ58" s="5">
        <f>IFERROR(INDEX(CEA_SHOCK_SOLVE($A$12:$D$15,C58,D58,B58,,,,,,$E$13:$E$15,$B$5,$B$6,$B$7,,,$A$28:$A$28,$C$24:$C$33,$B$4,$B$8,FALSE),1,15),"")</f>
      </c>
      <c r="CA58" s="5">
        <f>IFERROR(INDEX(CEA_SHOCK_SOLVE($A$12:$D$15,C58,D58,B58,,,,,,$E$13:$E$15,$B$5,$B$6,$B$7,,,$A$28:$A$28,$C$24:$C$33,$B$4,$B$8,FALSE),1,16),"")</f>
      </c>
      <c r="CB58" s="5">
        <f>IFERROR(INDEX(CEA_SHOCK_SOLVE($A$12:$D$15,C58,D58,B58,,,,,,$E$13:$E$15,$B$5,$B$6,$B$7,,,$A$28:$A$28,$C$24:$C$33,$B$4,$B$8,FALSE),1,17),"")</f>
      </c>
      <c r="CC58" s="5">
        <f>IFERROR(INDEX(CEA_SHOCK_SOLVE($A$12:$D$15,C58,D58,B58,,,,,,$E$13:$E$15,$B$5,$B$6,$B$7,,,$A$28:$A$28,$C$24:$C$33,$B$4,$B$8,FALSE),1,18),"")</f>
      </c>
      <c r="CD58" s="5">
        <f>IFERROR(INDEX(CEA_SHOCK_SOLVE($A$12:$D$15,C58,D58,B58,,,,,,$E$13:$E$15,$B$5,$B$6,$B$7,,,$A$28:$A$28,$C$24:$C$33,$B$4,$B$8,FALSE),1,19),"")</f>
      </c>
      <c r="CE58" s="5">
        <f>IFERROR(INDEX(CEA_SHOCK_SOLVE($A$12:$D$15,C58,D58,B58,,,,,,$E$13:$E$15,$B$5,$B$6,$B$7,,,$A$28:$A$28,$C$24:$C$33,$B$4,$B$8,FALSE),1,20),"")</f>
      </c>
      <c r="CF58" s="5">
        <f>IFERROR(INDEX(CEA_SHOCK_SOLVE($A$12:$D$15,C58,D58,B58,,,,,,$E$13:$E$15,$B$5,$B$6,$B$7,,,$A$28:$A$28,$C$24:$C$33,$B$4,$B$8,FALSE),1,21),"")</f>
      </c>
      <c r="CG58" s="5">
        <f>IFERROR(INDEX(CEA_SHOCK_SOLVE($A$12:$D$15,C58,D58,B58,,,,,,$E$13:$E$15,$B$5,$B$6,$B$7,,,$A$28:$A$28,$C$24:$C$33,$B$4,$B$8,FALSE),1,22),"")</f>
      </c>
      <c r="CH58" s="5">
        <f>IFERROR(INDEX(CEA_SHOCK_SOLVE($A$12:$D$15,C58,D58,B58,,,,,,$E$13:$E$15,$B$5,$B$6,$B$7,,,$A$28:$A$28,$C$24:$C$33,$B$4,$B$8,FALSE),1,23),"")</f>
      </c>
      <c r="CI58" s="5">
        <f>IFERROR(INDEX(CEA_SHOCK_SOLVE($A$12:$D$15,C58,D58,B58,,,,,,$E$13:$E$15,$B$5,$B$6,$B$7,,,$A$28:$A$28,$C$24:$C$33,$B$4,$B$8,FALSE),1,24),"")</f>
      </c>
      <c r="CJ58" s="5">
        <f>IFERROR(INDEX(CEA_SHOCK_SOLVE($A$12:$D$15,C58,D58,B58,,,,,,$E$13:$E$15,$B$5,$B$6,$B$7,,,$A$28:$A$28,$C$24:$C$33,$B$4,$B$8,FALSE),1,25),"")</f>
      </c>
      <c r="CK58" s="5">
        <f>IFERROR(INDEX(CEA_SHOCK_SOLVE($A$12:$D$15,C58,D58,B58,,,,,,$E$13:$E$15,$B$5,$B$6,$B$7,,,$A$28:$A$28,$C$24:$C$33,$B$4,$B$8,FALSE),1,26),"")</f>
      </c>
      <c r="CL58" s="5">
        <f>IFERROR(INDEX(CEA_SHOCK_SOLVE($A$12:$D$15,C58,D58,B58,,,,,,$E$13:$E$15,$B$5,$B$6,$B$7,,,$A$28:$A$28,$C$24:$C$33,$B$4,$B$8,FALSE),1,27),"")</f>
      </c>
      <c r="CM58" s="5">
        <f>IFERROR(INDEX(CEA_SHOCK_SOLVE($A$12:$D$15,C58,D58,B58,,,,,,$E$13:$E$15,$B$5,$B$6,$B$7,,,$A$28:$A$28,$C$24:$C$33,$B$4,$B$8,FALSE),1,28),"")</f>
      </c>
      <c r="CN58" s="5">
        <f>IFERROR(INDEX(CEA_SHOCK_SOLVE($A$12:$D$15,C58,D58,B58,,,,,,$E$13:$E$15,$B$5,$B$6,$B$7,,,$A$28:$A$28,$C$24:$C$33,$B$4,$B$8,FALSE),1,29),"")</f>
      </c>
      <c r="CO58" s="5">
        <f>IFERROR(INDEX(CEA_SHOCK_SOLVE($A$12:$D$15,C58,D58,B58,,,,,,$E$13:$E$15,$B$5,$B$6,$B$7,,,$A$28:$A$28,$C$24:$C$33,$B$4,$B$8,FALSE),1,30),"")</f>
      </c>
      <c r="CP58" s="5">
        <f>IFERROR(INDEX(CEA_SHOCK_SOLVE($A$12:$D$15,C58,D58,B58,,,,,,$E$13:$E$15,$B$5,$B$6,$B$7,,,$A$28:$A$28,$C$24:$C$33,$B$4,$B$8,FALSE),1,31),"")</f>
      </c>
      <c r="CQ58" s="5">
        <f>IFERROR(INDEX(CEA_SHOCK_SOLVE($A$12:$D$15,C58,D58,B58,,,,,,$E$13:$E$15,$B$5,$B$6,$B$7,,,$A$28:$A$28,$C$24:$C$33,$B$4,$B$8,FALSE),1,32),"")</f>
      </c>
      <c r="CR58" s="5">
        <f>IFERROR(INDEX(CEA_SHOCK_SOLVE($A$12:$D$15,C58,D58,B58,,,,,,$E$13:$E$15,$B$5,$B$6,$B$7,,,$A$28:$A$28,$C$24:$C$33,$B$4,$B$8,FALSE),1,33),"")</f>
      </c>
      <c r="CS58" s="5">
        <f>IFERROR(INDEX(CEA_SHOCK_SOLVE($A$12:$D$15,C58,D58,B58,,,,,,$E$13:$E$15,$B$5,$B$6,$B$7,,,$A$28:$A$28,$C$24:$C$33,$B$4,$B$8,FALSE),1,34),"")</f>
      </c>
      <c r="CT58" s="5">
        <f>IFERROR(INDEX(CEA_SHOCK_SOLVE($A$12:$D$15,C58,D58,B58,,,,,,$E$13:$E$15,$B$5,$B$6,$B$7,,,$A$28:$A$28,$C$24:$C$33,$B$4,$B$8,FALSE),1,35),"")</f>
      </c>
      <c r="CU58" s="5">
        <f>IFERROR(INDEX(CEA_SHOCK_SOLVE($A$12:$D$15,C58,D58,B58,,,,,,$E$13:$E$15,$B$5,$B$6,$B$7,,,$A$28:$A$28,$C$24:$C$33,$B$4,$B$8,FALSE),1,36),"")</f>
      </c>
      <c r="CV58" s="5">
        <f>IFERROR(INDEX(CEA_SHOCK_SOLVE($A$12:$D$15,C58,D58,B58,,,,,,$E$13:$E$15,$B$5,$B$6,$B$7,,,$A$28:$A$28,$C$24:$C$33,$B$4,$B$8,FALSE),1,37),"")</f>
      </c>
      <c r="CW58" s="5">
        <f>IFERROR(INDEX(CEA_SHOCK_SOLVE($A$12:$D$15,C58,D58,B58,,,,,,$E$13:$E$15,$B$5,$B$6,$B$7,,,$A$28:$A$28,$C$24:$C$33,$B$4,$B$8,FALSE),1,38),"")</f>
      </c>
      <c r="CX58" s="5">
        <f>IFERROR(INDEX(CEA_SHOCK_SOLVE($A$12:$D$15,C58,D58,B58,,,,,,$E$13:$E$15,$B$5,$B$6,$B$7,,,$A$28:$A$28,$C$24:$C$33,$B$4,$B$8,FALSE),1,39),"")</f>
      </c>
      <c r="CY58" s="5">
        <f>IFERROR(INDEX(CEA_SHOCK_SOLVE($A$12:$D$15,C58,D58,B58,,,,,,$E$13:$E$15,$B$5,$B$6,$B$7,,,$A$28:$A$28,$C$24:$C$33,$B$4,$B$8,FALSE),1,40),"")</f>
      </c>
      <c r="CZ58" s="5">
        <f>IFERROR(INDEX(CEA_SHOCK_SOLVE($A$12:$D$15,C58,D58,B58,,,,,,$E$13:$E$15,$B$5,$B$6,$B$7,,,$A$28:$A$28,$C$24:$C$33,$B$4,$B$8,FALSE),1,41),"")</f>
      </c>
      <c r="DA58" s="5">
        <f>IFERROR(INDEX(CEA_SHOCK_SOLVE($A$12:$D$15,C58,D58,B58,,,,,,$E$13:$E$15,$B$5,$B$6,$B$7,,,$A$28:$A$28,$C$24:$C$33,$B$4,$B$8,FALSE),1,42),"")</f>
      </c>
      <c r="DB58" s="5">
        <f>IFERROR(INDEX(CEA_SHOCK_SOLVE($A$12:$D$15,C58,D58,B58,,,,,,$E$13:$E$15,$B$5,$B$6,$B$7,,,$A$28:$A$28,$C$24:$C$33,$B$4,$B$8,FALSE),1,43),"")</f>
      </c>
      <c r="DC58" s="5">
        <f>IFERROR(INDEX(CEA_SHOCK_SOLVE($A$12:$D$15,C58,D58,B58,,,,,,$E$13:$E$15,$B$5,$B$6,$B$7,,,$A$28:$A$28,$C$24:$C$33,$B$4,$B$8,FALSE),1,44),"")</f>
      </c>
      <c r="DD58" s="5">
        <f>IFERROR(INDEX(CEA_SHOCK_SOLVE($A$12:$D$15,C58,D58,B58,,,,,,$E$13:$E$15,$B$5,$B$6,$B$7,,,$A$28:$A$28,$C$24:$C$33,$B$4,$B$8,FALSE),1,45),"")</f>
      </c>
      <c r="DE58" s="5">
        <f>IFERROR(INDEX(CEA_SHOCK_SOLVE($A$12:$D$15,C58,D58,B58,,,,,,$E$13:$E$15,$B$5,$B$6,$B$7,,,$A$28:$A$28,$C$24:$C$33,$B$4,$B$8,FALSE),1,46),"")</f>
      </c>
      <c r="DF58" s="5">
        <f>IFERROR(INDEX(CEA_SHOCK_SOLVE($A$12:$D$15,C58,D58,B58,,,,,,$E$13:$E$15,$B$5,$B$6,$B$7,,,$A$28:$A$28,$C$24:$C$33,$B$4,$B$8,FALSE),1,47),"")</f>
      </c>
      <c r="DG58" s="5">
        <f>IFERROR(INDEX(CEA_SHOCK_SOLVE($A$12:$D$15,C58,D58,B58,,,,,,$E$13:$E$15,$B$5,$B$6,$B$7,,,$A$28:$A$28,$C$24:$C$33,$B$4,$B$8,FALSE),1,48),"")</f>
      </c>
      <c r="DH58" s="5">
        <f>IFERROR(INDEX(CEA_SHOCK_SOLVE($A$12:$D$15,C58,D58,B58,,,,,,$E$13:$E$15,$B$5,$B$6,$B$7,,,$A$28:$A$28,$C$24:$C$33,$B$4,$B$8,FALSE),1,49),"")</f>
      </c>
      <c r="DI58" s="5">
        <f>IFERROR(INDEX(CEA_SHOCK_SOLVE($A$12:$D$15,C58,D58,B58,,,,,,$E$13:$E$15,$B$5,$B$6,$B$7,,,$A$28:$A$28,$C$24:$C$33,$B$4,$B$8,FALSE),1,50),"")</f>
      </c>
      <c r="DJ58" s="5">
        <f>IFERROR(INDEX(CEA_SHOCK_SOLVE($A$12:$D$15,C58,D58,B58,,,,,,$E$13:$E$15,$B$5,$B$6,$B$7,,,$A$28:$A$28,$C$24:$C$33,$B$4,$B$8,FALSE),1,51),"")</f>
      </c>
      <c r="DK58" s="5">
        <f>IFERROR(INDEX(CEA_SHOCK_SOLVE($A$12:$D$15,C58,D58,B58,,,,,,$E$13:$E$15,$B$5,$B$6,$B$7,,,$A$28:$A$28,$C$24:$C$33,$B$4,$B$8,FALSE),1,52),"")</f>
      </c>
      <c r="DL58" s="5">
        <f>IFERROR(INDEX(CEA_SHOCK_SOLVE($A$12:$D$15,C58,D58,B58,,,,,,$E$13:$E$15,$B$5,$B$6,$B$7,,,$A$28:$A$28,$C$24:$C$33,$B$4,$B$8,FALSE),1,53),"")</f>
      </c>
      <c r="DM58" s="5">
        <f>IFERROR(INDEX(CEA_SHOCK_SOLVE($A$12:$D$15,C58,D58,B58,,,,,,$E$13:$E$15,$B$5,$B$6,$B$7,,,$A$28:$A$28,$C$24:$C$33,$B$4,$B$8,FALSE),1,54),"")</f>
      </c>
      <c r="DN58" s="5">
        <f>IFERROR(INDEX(CEA_SHOCK_SOLVE($A$12:$D$15,C58,D58,B58,,,,,,$E$13:$E$15,$B$5,$B$6,$B$7,,,$A$28:$A$28,$C$24:$C$33,$B$4,$B$8,FALSE),1,55),"")</f>
      </c>
      <c r="DO58" s="5">
        <f>IFERROR(INDEX(CEA_SHOCK_SOLVE($A$12:$D$15,C58,D58,B58,,,,,,$E$13:$E$15,$B$5,$B$6,$B$7,,,$A$28:$A$28,$C$24:$C$33,$B$4,$B$8,FALSE),1,56),"")</f>
      </c>
      <c r="DP58" s="5">
        <f>IFERROR(INDEX(CEA_SHOCK_SOLVE($A$12:$D$15,C58,D58,B58,,,,,,$E$13:$E$15,$B$5,$B$6,$B$7,,,$A$28:$A$28,$C$24:$C$33,$B$4,$B$8,FALSE),1,57),"")</f>
      </c>
      <c r="DQ58" s="5">
        <f>IFERROR(INDEX(CEA_SHOCK_SOLVE($A$12:$D$15,C58,D58,B58,,,,,,$E$13:$E$15,$B$5,$B$6,$B$7,,,$A$28:$A$28,$C$24:$C$33,$B$4,$B$8,FALSE),1,58),"")</f>
      </c>
      <c r="DR58" s="5">
        <f>IFERROR(INDEX(CEA_SHOCK_SOLVE($A$12:$D$15,C58,D58,B58,,,,,,$E$13:$E$15,$B$5,$B$6,$B$7,,,$A$28:$A$28,$C$24:$C$33,$B$4,$B$8,FALSE),1,59),"")</f>
      </c>
      <c r="DS58" s="5">
        <f>IFERROR(INDEX(CEA_SHOCK_SOLVE($A$12:$D$15,C58,D58,B58,,,,,,$E$13:$E$15,$B$5,$B$6,$B$7,,,$A$28:$A$28,$C$24:$C$33,$B$4,$B$8,FALSE),1,60),"")</f>
      </c>
      <c r="DT58" s="5">
        <f>IFERROR(INDEX(CEA_SHOCK_SOLVE($A$12:$D$15,C58,D58,B58,,,,,,$E$13:$E$15,$B$5,$B$6,$B$7,,,$A$28:$A$28,$C$24:$C$33,$B$4,$B$8,FALSE),1,61),"")</f>
      </c>
      <c r="DU58" s="5">
        <f>IFERROR(INDEX(CEA_SHOCK_SOLVE($A$12:$D$15,C58,D58,B58,,,,,,$E$13:$E$15,$B$5,$B$6,$B$7,,,$A$28:$A$28,$C$24:$C$33,$B$4,$B$8,FALSE),1,62),"")</f>
      </c>
      <c r="DV58" s="5">
        <f>IFERROR(INDEX(CEA_SHOCK_SOLVE($A$12:$D$15,C58,D58,B58,,,,,,$E$13:$E$15,$B$5,$B$6,$B$7,,,$A$28:$A$28,$C$24:$C$33,$B$4,$B$8,FALSE),1,63),"")</f>
      </c>
      <c r="DW58" s="5">
        <f>IFERROR(INDEX(CEA_SHOCK_SOLVE($A$12:$D$15,C58,D58,B58,,,,,,$E$13:$E$15,$B$5,$B$6,$B$7,,,$A$28:$A$28,$C$24:$C$33,$B$4,$B$8,FALSE),1,64),"")</f>
      </c>
      <c r="DX58" s="5">
        <f>IFERROR(INDEX(CEA_SHOCK_SOLVE($A$12:$D$15,C58,D58,B58,,,,,,$E$13:$E$15,$B$5,$B$6,$B$7,,,$A$28:$A$28,$C$24:$C$33,$B$4,$B$8,FALSE),1,65),"")</f>
      </c>
      <c r="DY58" s="5">
        <f>IFERROR(INDEX(CEA_SHOCK_SOLVE($A$12:$D$15,C58,D58,B58,,,,,,$E$13:$E$15,$B$5,$B$6,$B$7,,,$A$28:$A$28,$C$24:$C$33,$B$4,$B$8,FALSE),1,66),"")</f>
      </c>
    </row>
    <row r="59" spans="1:149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INDEX(CEA_SHOCK_SOLVE($A$12:$D$15,C59,D59,B59,,,,,,$E$13:$E$15,$B$5,$B$6,$B$7,,,$A$24:$A$50,$C$24:$C$33,$B$4,$B$8,FALSE),1,1)</f>
      </c>
      <c r="G59" s="5">
        <f>INDEX(CEA_SHOCK_SOLVE($A$12:$D$15,C59,D59,B59,,,,,,$E$13:$E$15,$B$5,$B$6,$B$7,,,$A$24:$A$50,$C$24:$C$33,$B$4,$B$8,FALSE),1,2)</f>
      </c>
      <c r="H59" s="5">
        <f>INDEX(CEA_SHOCK_SOLVE($A$12:$D$15,C59,D59,B59,,,,,,$E$13:$E$15,$B$5,$B$6,$B$7,,,$A$24:$A$50,$C$24:$C$33,$B$4,$B$8,FALSE),1,3)</f>
      </c>
      <c r="I59" s="5">
        <f>INDEX(CEA_SHOCK_SOLVE($A$12:$D$15,C59,D59,B59,,,,,,$E$13:$E$15,$B$5,$B$6,$B$7,,,$A$24:$A$50,$C$24:$C$33,$B$4,$B$8,FALSE),1,4)</f>
      </c>
      <c r="J59" s="5">
        <f>INDEX(CEA_SHOCK_SOLVE($A$12:$D$15,C59,D59,B59,,,,,,$E$13:$E$15,$B$5,$B$6,$B$7,,,$A$24:$A$50,$C$24:$C$33,$B$4,$B$8,FALSE),1,5)</f>
      </c>
      <c r="K59" s="5">
        <f>INDEX(CEA_SHOCK_SOLVE($A$12:$D$15,C59,D59,B59,,,,,,$E$13:$E$15,$B$5,$B$6,$B$7,,,$A$24:$A$50,$C$24:$C$33,$B$4,$B$8,FALSE),1,6)</f>
      </c>
      <c r="L59" s="5">
        <f>INDEX(CEA_SHOCK_SOLVE($A$12:$D$15,C59,D59,B59,,,,,,$E$13:$E$15,$B$5,$B$6,$B$7,,,$A$24:$A$50,$C$24:$C$33,$B$4,$B$8,FALSE),1,7)</f>
      </c>
      <c r="M59" s="5">
        <f>INDEX(CEA_SHOCK_SOLVE($A$12:$D$15,C59,D59,B59,,,,,,$E$13:$E$15,$B$5,$B$6,$B$7,,,$A$24:$A$50,$C$24:$C$33,$B$4,$B$8,FALSE),1,8)</f>
      </c>
      <c r="N59" s="5">
        <f>INDEX(CEA_SHOCK_SOLVE($A$12:$D$15,C59,D59,B59,,,,,,$E$13:$E$15,$B$5,$B$6,$B$7,,,$A$24:$A$50,$C$24:$C$33,$B$4,$B$8,FALSE),1,9)</f>
      </c>
      <c r="O59" s="5">
        <f>INDEX(CEA_SHOCK_SOLVE($A$12:$D$15,C59,D59,B59,,,,,,$E$13:$E$15,$B$5,$B$6,$B$7,,,$A$24:$A$50,$C$24:$C$33,$B$4,$B$8,FALSE),1,10)</f>
      </c>
      <c r="P59" s="5">
        <f>INDEX(CEA_SHOCK_SOLVE($A$12:$D$15,C59,D59,B59,,,,,,$E$13:$E$15,$B$5,$B$6,$B$7,,,$A$24:$A$50,$C$24:$C$33,$B$4,$B$8,FALSE),1,11)</f>
      </c>
      <c r="Q59" s="5">
        <f>INDEX(CEA_SHOCK_SOLVE($A$12:$D$15,C59,D59,B59,,,,,,$E$13:$E$15,$B$5,$B$6,$B$7,,,$A$24:$A$50,$C$24:$C$33,$B$4,$B$8,FALSE),1,12)</f>
      </c>
      <c r="R59" s="5">
        <f>INDEX(CEA_SHOCK_SOLVE($A$12:$D$15,C59,D59,B59,,,,,,$E$13:$E$15,$B$5,$B$6,$B$7,,,$A$24:$A$50,$C$24:$C$33,$B$4,$B$8,FALSE),1,13)</f>
      </c>
      <c r="S59" s="5">
        <f>INDEX(CEA_SHOCK_SOLVE($A$12:$D$15,C59,D59,B59,,,,,,$E$13:$E$15,$B$5,$B$6,$B$7,,,$A$24:$A$50,$C$24:$C$33,$B$4,$B$8,FALSE),1,14)</f>
      </c>
      <c r="T59" s="5">
        <f>INDEX(CEA_SHOCK_SOLVE($A$12:$D$15,C59,D59,B59,,,,,,$E$13:$E$15,$B$5,$B$6,$B$7,,,$A$24:$A$50,$C$24:$C$33,$B$4,$B$8,FALSE),1,15)</f>
      </c>
      <c r="U59" s="5">
        <f>INDEX(CEA_SHOCK_SOLVE($A$12:$D$15,C59,D59,B59,,,,,,$E$13:$E$15,$B$5,$B$6,$B$7,,,$A$24:$A$50,$C$24:$C$33,$B$4,$B$8,FALSE),1,16)</f>
      </c>
      <c r="V59" s="5">
        <f>INDEX(CEA_SHOCK_SOLVE($A$12:$D$15,C59,D59,B59,,,,,,$E$13:$E$15,$B$5,$B$6,$B$7,,,$A$24:$A$50,$C$24:$C$33,$B$4,$B$8,FALSE),1,17)</f>
      </c>
      <c r="W59" s="5">
        <f>INDEX(CEA_SHOCK_SOLVE($A$12:$D$15,C59,D59,B59,,,,,,$E$13:$E$15,$B$5,$B$6,$B$7,,,$A$24:$A$50,$C$24:$C$33,$B$4,$B$8,FALSE),1,18)</f>
      </c>
      <c r="X59" s="5">
        <f>INDEX(CEA_SHOCK_SOLVE($A$12:$D$15,C59,D59,B59,,,,,,$E$13:$E$15,$B$5,$B$6,$B$7,,,$A$24:$A$50,$C$24:$C$33,$B$4,$B$8,FALSE),1,19)</f>
      </c>
      <c r="Y59" s="5">
        <f>INDEX(CEA_SHOCK_SOLVE($A$12:$D$15,C59,D59,B59,,,,,,$E$13:$E$15,$B$5,$B$6,$B$7,,,$A$24:$A$50,$C$24:$C$33,$B$4,$B$8,FALSE),1,20)</f>
      </c>
      <c r="Z59" s="5">
        <f>INDEX(CEA_SHOCK_SOLVE($A$12:$D$15,C59,D59,B59,,,,,,$E$13:$E$15,$B$5,$B$6,$B$7,,,$A$24:$A$50,$C$24:$C$33,$B$4,$B$8,FALSE),1,21)</f>
      </c>
      <c r="AA59" s="5">
        <f>INDEX(CEA_SHOCK_SOLVE($A$12:$D$15,C59,D59,B59,,,,,,$E$13:$E$15,$B$5,$B$6,$B$7,,,$A$24:$A$50,$C$24:$C$33,$B$4,$B$8,FALSE),1,22)</f>
      </c>
      <c r="AB59" s="5">
        <f>INDEX(CEA_SHOCK_SOLVE($A$12:$D$15,C59,D59,B59,,,,,,$E$13:$E$15,$B$5,$B$6,$B$7,,,$A$24:$A$50,$C$24:$C$33,$B$4,$B$8,FALSE),1,23)</f>
      </c>
      <c r="AC59" s="5">
        <f>INDEX(CEA_SHOCK_SOLVE($A$12:$D$15,C59,D59,B59,,,,,,$E$13:$E$15,$B$5,$B$6,$B$7,,,$A$24:$A$50,$C$24:$C$33,$B$4,$B$8,FALSE),1,24)</f>
      </c>
      <c r="AD59" s="5">
        <f>INDEX(CEA_SHOCK_SOLVE($A$12:$D$15,C59,D59,B59,,,,,,$E$13:$E$15,$B$5,$B$6,$B$7,,,$A$24:$A$50,$C$24:$C$33,$B$4,$B$8,FALSE),1,25)</f>
      </c>
      <c r="AE59" s="5">
        <f>INDEX(CEA_SHOCK_SOLVE($A$12:$D$15,C59,D59,B59,,,,,,$E$13:$E$15,$B$5,$B$6,$B$7,,,$A$24:$A$50,$C$24:$C$33,$B$4,$B$8,FALSE),1,26)</f>
      </c>
      <c r="AF59" s="5">
        <f>INDEX(CEA_SHOCK_SOLVE($A$12:$D$15,C59,D59,B59,,,,,,$E$13:$E$15,$B$5,$B$6,$B$7,,,$A$24:$A$50,$C$24:$C$33,$B$4,$B$8,FALSE),1,27)</f>
      </c>
      <c r="AG59" s="5">
        <f>INDEX(CEA_SHOCK_SOLVE($A$12:$D$15,C59,D59,B59,,,,,,$E$13:$E$15,$B$5,$B$6,$B$7,,,$A$24:$A$50,$C$24:$C$33,$B$4,$B$8,FALSE),1,28)</f>
      </c>
      <c r="AH59" s="5">
        <f>INDEX(CEA_SHOCK_SOLVE($A$12:$D$15,C59,D59,B59,,,,,,$E$13:$E$15,$B$5,$B$6,$B$7,,,$A$24:$A$50,$C$24:$C$33,$B$4,$B$8,FALSE),1,29)</f>
      </c>
      <c r="AI59" s="5">
        <f>INDEX(CEA_SHOCK_SOLVE($A$12:$D$15,C59,D59,B59,,,,,,$E$13:$E$15,$B$5,$B$6,$B$7,,,$A$24:$A$50,$C$24:$C$33,$B$4,$B$8,FALSE),1,30)</f>
      </c>
      <c r="AJ59" s="5">
        <f>INDEX(CEA_SHOCK_SOLVE($A$12:$D$15,C59,D59,B59,,,,,,$E$13:$E$15,$B$5,$B$6,$B$7,,,$A$24:$A$50,$C$24:$C$33,$B$4,$B$8,FALSE),1,31)</f>
      </c>
      <c r="AK59" s="5">
        <f>INDEX(CEA_SHOCK_SOLVE($A$12:$D$15,C59,D59,B59,,,,,,$E$13:$E$15,$B$5,$B$6,$B$7,,,$A$24:$A$50,$C$24:$C$33,$B$4,$B$8,FALSE),1,32)</f>
      </c>
      <c r="AL59" s="5">
        <f>INDEX(CEA_SHOCK_SOLVE($A$12:$D$15,C59,D59,B59,,,,,,$E$13:$E$15,$B$5,$B$6,$B$7,,,$A$24:$A$50,$C$24:$C$33,$B$4,$B$8,FALSE),1,33)</f>
      </c>
      <c r="AM59" s="5">
        <f>INDEX(CEA_SHOCK_SOLVE($A$12:$D$15,C59,D59,B59,,,,,,$E$13:$E$15,$B$5,$B$6,$B$7,,,$A$24:$A$50,$C$24:$C$33,$B$4,$B$8,FALSE),1,34)</f>
      </c>
      <c r="AN59" s="5">
        <f>INDEX(CEA_SHOCK_SOLVE($A$12:$D$15,C59,D59,B59,,,,,,$E$13:$E$15,$B$5,$B$6,$B$7,,,$A$24:$A$50,$C$24:$C$33,$B$4,$B$8,FALSE),1,35)</f>
      </c>
      <c r="AO59" s="5">
        <f>INDEX(CEA_SHOCK_SOLVE($A$12:$D$15,C59,D59,B59,,,,,,$E$13:$E$15,$B$5,$B$6,$B$7,,,$A$24:$A$50,$C$24:$C$33,$B$4,$B$8,FALSE),1,36)</f>
      </c>
      <c r="AP59" s="5">
        <f>INDEX(CEA_SHOCK_SOLVE($A$12:$D$15,C59,D59,B59,,,,,,$E$13:$E$15,$B$5,$B$6,$B$7,,,$A$24:$A$50,$C$24:$C$33,$B$4,$B$8,FALSE),1,37)</f>
      </c>
      <c r="AQ59" s="5">
        <f>INDEX(CEA_SHOCK_SOLVE($A$12:$D$15,C59,D59,B59,,,,,,$E$13:$E$15,$B$5,$B$6,$B$7,,,$A$24:$A$50,$C$24:$C$33,$B$4,$B$8,FALSE),1,38)</f>
      </c>
      <c r="AR59" s="5">
        <f>INDEX(CEA_SHOCK_SOLVE($A$12:$D$15,C59,D59,B59,,,,,,$E$13:$E$15,$B$5,$B$6,$B$7,,,$A$24:$A$50,$C$24:$C$33,$B$4,$B$8,FALSE),1,39)</f>
      </c>
      <c r="AS59" s="5">
        <f>INDEX(CEA_SHOCK_SOLVE($A$12:$D$15,C59,D59,B59,,,,,,$E$13:$E$15,$B$5,$B$6,$B$7,,,$A$24:$A$50,$C$24:$C$33,$B$4,$B$8,FALSE),1,40)</f>
      </c>
      <c r="AT59" s="5">
        <f>INDEX(CEA_SHOCK_SOLVE($A$12:$D$15,C59,D59,B59,,,,,,$E$13:$E$15,$B$5,$B$6,$B$7,,,$A$24:$A$50,$C$24:$C$33,$B$4,$B$8,FALSE),1,41)</f>
      </c>
      <c r="AU59" s="5">
        <f>INDEX(CEA_SHOCK_SOLVE($A$12:$D$15,C59,D59,B59,,,,,,$E$13:$E$15,$B$5,$B$6,$B$7,,,$A$24:$A$50,$C$24:$C$33,$B$4,$B$8,FALSE),1,42)</f>
      </c>
      <c r="AV59" s="5">
        <f>INDEX(CEA_SHOCK_SOLVE($A$12:$D$15,C59,D59,B59,,,,,,$E$13:$E$15,$B$5,$B$6,$B$7,,,$A$24:$A$50,$C$24:$C$33,$B$4,$B$8,FALSE),1,43)</f>
      </c>
      <c r="AW59" s="5">
        <f>INDEX(CEA_SHOCK_SOLVE($A$12:$D$15,C59,D59,B59,,,,,,$E$13:$E$15,$B$5,$B$6,$B$7,,,$A$24:$A$50,$C$24:$C$33,$B$4,$B$8,FALSE),1,44)</f>
      </c>
      <c r="AX59" s="5">
        <f>INDEX(CEA_SHOCK_SOLVE($A$12:$D$15,C59,D59,B59,,,,,,$E$13:$E$15,$B$5,$B$6,$B$7,,,$A$24:$A$50,$C$24:$C$33,$B$4,$B$8,FALSE),1,45)</f>
      </c>
      <c r="AY59" s="5">
        <f>INDEX(CEA_SHOCK_SOLVE($A$12:$D$15,C59,D59,B59,,,,,,$E$13:$E$15,$B$5,$B$6,$B$7,,,$A$24:$A$50,$C$24:$C$33,$B$4,$B$8,FALSE),1,46)</f>
      </c>
      <c r="AZ59" s="5">
        <f>INDEX(CEA_SHOCK_SOLVE($A$12:$D$15,C59,D59,B59,,,,,,$E$13:$E$15,$B$5,$B$6,$B$7,,,$A$24:$A$50,$C$24:$C$33,$B$4,$B$8,FALSE),1,47)</f>
      </c>
      <c r="BA59" s="5">
        <f>INDEX(CEA_SHOCK_SOLVE($A$12:$D$15,C59,D59,B59,,,,,,$E$13:$E$15,$B$5,$B$6,$B$7,,,$A$24:$A$50,$C$24:$C$33,$B$4,$B$8,FALSE),1,48)</f>
      </c>
      <c r="BB59" s="5">
        <f>INDEX(CEA_SHOCK_SOLVE($A$12:$D$15,C59,D59,B59,,,,,,$E$13:$E$15,$B$5,$B$6,$B$7,,,$A$24:$A$50,$C$24:$C$33,$B$4,$B$8,FALSE),1,49)</f>
      </c>
      <c r="BC59" s="5">
        <f>INDEX(CEA_SHOCK_SOLVE($A$12:$D$15,C59,D59,B59,,,,,,$E$13:$E$15,$B$5,$B$6,$B$7,,,$A$24:$A$50,$C$24:$C$33,$B$4,$B$8,FALSE),1,50)</f>
      </c>
      <c r="BD59" s="5">
        <f>INDEX(CEA_SHOCK_SOLVE($A$12:$D$15,C59,D59,B59,,,,,,$E$13:$E$15,$B$5,$B$6,$B$7,,,$A$24:$A$50,$C$24:$C$33,$B$4,$B$8,FALSE),1,51)</f>
      </c>
      <c r="BE59" s="5">
        <f>INDEX(CEA_SHOCK_SOLVE($A$12:$D$15,C59,D59,B59,,,,,,$E$13:$E$15,$B$5,$B$6,$B$7,,,$A$24:$A$50,$C$24:$C$33,$B$4,$B$8,FALSE),1,52)</f>
      </c>
      <c r="BF59" s="5">
        <f>INDEX(CEA_SHOCK_SOLVE($A$12:$D$15,C59,D59,B59,,,,,,$E$13:$E$15,$B$5,$B$6,$B$7,,,$A$24:$A$50,$C$24:$C$33,$B$4,$B$8,FALSE),1,53)</f>
      </c>
      <c r="BG59" s="5">
        <f>INDEX(CEA_SHOCK_SOLVE($A$12:$D$15,C59,D59,B59,,,,,,$E$13:$E$15,$B$5,$B$6,$B$7,,,$A$24:$A$50,$C$24:$C$33,$B$4,$B$8,FALSE),1,54)</f>
      </c>
      <c r="BH59" s="5">
        <f>IFERROR(INDEX(CEA_SHOCK_SOLVE($A$12:$D$15,C59,D59,B59,,,,,,$E$13:$E$15,$B$5,$B$6,$B$7,,,$A$41:$A$50,,$B$4,$B$8,FALSE),1,4),"")</f>
      </c>
      <c r="BI59" s="5">
        <f>IFERROR(INDEX(CEA_SHOCK_SOLVE($A$12:$D$15,C59,D59,B59,,,,,,$E$13:$E$15,$B$5,$B$6,$B$7,,,$A$41:$A$50,,$B$4,$B$8,FALSE),1,5),"")</f>
      </c>
      <c r="BJ59" s="5">
        <f>IFERROR(INDEX(CEA_SHOCK_SOLVE($A$12:$D$15,C59,D59,B59,,,,,,$E$13:$E$15,$B$5,$B$6,$B$7,,,$A$41:$A$50,,$B$4,$B$8,FALSE),1,6),"")</f>
      </c>
      <c r="BK59" s="5">
        <f>IFERROR(INDEX(CEA_SHOCK_SOLVE($A$12:$D$15,C59,D59,B59,,,,,,$E$13:$E$15,$B$5,$B$6,$B$7,,,$A$41:$A$50,,$B$4,$B$8,FALSE),1,7),"")</f>
      </c>
      <c r="BL59" s="5">
        <f>IFERROR(INDEX(CEA_SHOCK_SOLVE($A$12:$D$15,C59,D59,B59,,,,,,$E$13:$E$15,$B$5,$B$6,$B$7,,,$A$41:$A$50,,$B$4,$B$8,FALSE),1,8),"")</f>
      </c>
      <c r="BM59" s="5">
        <f>IFERROR(INDEX(CEA_SHOCK_SOLVE($A$12:$D$15,C59,D59,B59,,,,,,$E$13:$E$15,$B$5,$B$6,$B$7,,,$A$41:$A$50,,$B$4,$B$8,FALSE),1,9),"")</f>
      </c>
      <c r="BN59" s="5">
        <f>IFERROR(INDEX(CEA_SHOCK_SOLVE($A$12:$D$15,C59,D59,B59,,,,,,$E$13:$E$15,$B$5,$B$6,$B$7,,,$A$41:$A$50,,$B$4,$B$8,FALSE),1,10),"")</f>
      </c>
      <c r="BO59" s="5">
        <f>IFERROR(INDEX(CEA_SHOCK_SOLVE($A$12:$D$15,C59,D59,B59,,,,,,$E$13:$E$15,$B$5,$B$6,$B$7,,,$A$41:$A$50,,$B$4,$B$8,FALSE),1,11),"")</f>
      </c>
      <c r="BP59" s="5">
        <f>IFERROR(INDEX(CEA_SHOCK_SOLVE($A$12:$D$15,C59,D59,B59,,,,,,$E$13:$E$15,$B$5,$B$6,$B$7,,,$A$41:$A$50,,$B$4,$B$8,FALSE),1,12),"")</f>
      </c>
      <c r="BQ59" s="5">
        <f>IFERROR(INDEX(CEA_SHOCK_SOLVE($A$12:$D$15,C59,D59,B59,,,,,,$E$13:$E$15,$B$5,$B$6,$B$7,,,$A$41:$A$50,,$B$4,$B$8,FALSE),1,13),"")</f>
      </c>
      <c r="BR59" s="5">
        <f>IFERROR(INDEX(CEA_SHOCK_SOLVE($A$12:$D$15,C59,D59,B59,,,,,,$E$13:$E$15,$B$5,$B$6,$B$7,,,$A$28:$A$28,$C$24:$C$33,$B$4,$B$8,FALSE),1,7),"")</f>
      </c>
      <c r="BS59" s="5">
        <f>IFERROR(INDEX(CEA_SHOCK_SOLVE($A$12:$D$15,C59,D59,B59,,,,,,$E$13:$E$15,$B$5,$B$6,$B$7,,,$A$28:$A$28,$C$24:$C$33,$B$4,$B$8,FALSE),1,8),"")</f>
      </c>
      <c r="BT59" s="5">
        <f>IFERROR(INDEX(CEA_SHOCK_SOLVE($A$12:$D$15,C59,D59,B59,,,,,,$E$13:$E$15,$B$5,$B$6,$B$7,,,$A$28:$A$28,$C$24:$C$33,$B$4,$B$8,FALSE),1,9),"")</f>
      </c>
      <c r="BU59" s="5">
        <f>IFERROR(INDEX(CEA_SHOCK_SOLVE($A$12:$D$15,C59,D59,B59,,,,,,$E$13:$E$15,$B$5,$B$6,$B$7,,,$A$28:$A$28,$C$24:$C$33,$B$4,$B$8,FALSE),1,10),"")</f>
      </c>
      <c r="BV59" s="5">
        <f>IFERROR(INDEX(CEA_SHOCK_SOLVE($A$12:$D$15,C59,D59,B59,,,,,,$E$13:$E$15,$B$5,$B$6,$B$7,,,$A$28:$A$28,$C$24:$C$33,$B$4,$B$8,FALSE),1,11),"")</f>
      </c>
      <c r="BW59" s="5">
        <f>IFERROR(INDEX(CEA_SHOCK_SOLVE($A$12:$D$15,C59,D59,B59,,,,,,$E$13:$E$15,$B$5,$B$6,$B$7,,,$A$28:$A$28,$C$24:$C$33,$B$4,$B$8,FALSE),1,12),"")</f>
      </c>
      <c r="BX59" s="5">
        <f>IFERROR(INDEX(CEA_SHOCK_SOLVE($A$12:$D$15,C59,D59,B59,,,,,,$E$13:$E$15,$B$5,$B$6,$B$7,,,$A$28:$A$28,$C$24:$C$33,$B$4,$B$8,FALSE),1,13),"")</f>
      </c>
      <c r="BY59" s="5">
        <f>IFERROR(INDEX(CEA_SHOCK_SOLVE($A$12:$D$15,C59,D59,B59,,,,,,$E$13:$E$15,$B$5,$B$6,$B$7,,,$A$28:$A$28,$C$24:$C$33,$B$4,$B$8,FALSE),1,14),"")</f>
      </c>
      <c r="BZ59" s="5">
        <f>IFERROR(INDEX(CEA_SHOCK_SOLVE($A$12:$D$15,C59,D59,B59,,,,,,$E$13:$E$15,$B$5,$B$6,$B$7,,,$A$28:$A$28,$C$24:$C$33,$B$4,$B$8,FALSE),1,15),"")</f>
      </c>
      <c r="CA59" s="5">
        <f>IFERROR(INDEX(CEA_SHOCK_SOLVE($A$12:$D$15,C59,D59,B59,,,,,,$E$13:$E$15,$B$5,$B$6,$B$7,,,$A$28:$A$28,$C$24:$C$33,$B$4,$B$8,FALSE),1,16),"")</f>
      </c>
      <c r="CB59" s="5">
        <f>IFERROR(INDEX(CEA_SHOCK_SOLVE($A$12:$D$15,C59,D59,B59,,,,,,$E$13:$E$15,$B$5,$B$6,$B$7,,,$A$28:$A$28,$C$24:$C$33,$B$4,$B$8,FALSE),1,17),"")</f>
      </c>
      <c r="CC59" s="5">
        <f>IFERROR(INDEX(CEA_SHOCK_SOLVE($A$12:$D$15,C59,D59,B59,,,,,,$E$13:$E$15,$B$5,$B$6,$B$7,,,$A$28:$A$28,$C$24:$C$33,$B$4,$B$8,FALSE),1,18),"")</f>
      </c>
      <c r="CD59" s="5">
        <f>IFERROR(INDEX(CEA_SHOCK_SOLVE($A$12:$D$15,C59,D59,B59,,,,,,$E$13:$E$15,$B$5,$B$6,$B$7,,,$A$28:$A$28,$C$24:$C$33,$B$4,$B$8,FALSE),1,19),"")</f>
      </c>
      <c r="CE59" s="5">
        <f>IFERROR(INDEX(CEA_SHOCK_SOLVE($A$12:$D$15,C59,D59,B59,,,,,,$E$13:$E$15,$B$5,$B$6,$B$7,,,$A$28:$A$28,$C$24:$C$33,$B$4,$B$8,FALSE),1,20),"")</f>
      </c>
      <c r="CF59" s="5">
        <f>IFERROR(INDEX(CEA_SHOCK_SOLVE($A$12:$D$15,C59,D59,B59,,,,,,$E$13:$E$15,$B$5,$B$6,$B$7,,,$A$28:$A$28,$C$24:$C$33,$B$4,$B$8,FALSE),1,21),"")</f>
      </c>
      <c r="CG59" s="5">
        <f>IFERROR(INDEX(CEA_SHOCK_SOLVE($A$12:$D$15,C59,D59,B59,,,,,,$E$13:$E$15,$B$5,$B$6,$B$7,,,$A$28:$A$28,$C$24:$C$33,$B$4,$B$8,FALSE),1,22),"")</f>
      </c>
      <c r="CH59" s="5">
        <f>IFERROR(INDEX(CEA_SHOCK_SOLVE($A$12:$D$15,C59,D59,B59,,,,,,$E$13:$E$15,$B$5,$B$6,$B$7,,,$A$28:$A$28,$C$24:$C$33,$B$4,$B$8,FALSE),1,23),"")</f>
      </c>
      <c r="CI59" s="5">
        <f>IFERROR(INDEX(CEA_SHOCK_SOLVE($A$12:$D$15,C59,D59,B59,,,,,,$E$13:$E$15,$B$5,$B$6,$B$7,,,$A$28:$A$28,$C$24:$C$33,$B$4,$B$8,FALSE),1,24),"")</f>
      </c>
      <c r="CJ59" s="5">
        <f>IFERROR(INDEX(CEA_SHOCK_SOLVE($A$12:$D$15,C59,D59,B59,,,,,,$E$13:$E$15,$B$5,$B$6,$B$7,,,$A$28:$A$28,$C$24:$C$33,$B$4,$B$8,FALSE),1,25),"")</f>
      </c>
      <c r="CK59" s="5">
        <f>IFERROR(INDEX(CEA_SHOCK_SOLVE($A$12:$D$15,C59,D59,B59,,,,,,$E$13:$E$15,$B$5,$B$6,$B$7,,,$A$28:$A$28,$C$24:$C$33,$B$4,$B$8,FALSE),1,26),"")</f>
      </c>
      <c r="CL59" s="5">
        <f>IFERROR(INDEX(CEA_SHOCK_SOLVE($A$12:$D$15,C59,D59,B59,,,,,,$E$13:$E$15,$B$5,$B$6,$B$7,,,$A$28:$A$28,$C$24:$C$33,$B$4,$B$8,FALSE),1,27),"")</f>
      </c>
      <c r="CM59" s="5">
        <f>IFERROR(INDEX(CEA_SHOCK_SOLVE($A$12:$D$15,C59,D59,B59,,,,,,$E$13:$E$15,$B$5,$B$6,$B$7,,,$A$28:$A$28,$C$24:$C$33,$B$4,$B$8,FALSE),1,28),"")</f>
      </c>
      <c r="CN59" s="5">
        <f>IFERROR(INDEX(CEA_SHOCK_SOLVE($A$12:$D$15,C59,D59,B59,,,,,,$E$13:$E$15,$B$5,$B$6,$B$7,,,$A$28:$A$28,$C$24:$C$33,$B$4,$B$8,FALSE),1,29),"")</f>
      </c>
      <c r="CO59" s="5">
        <f>IFERROR(INDEX(CEA_SHOCK_SOLVE($A$12:$D$15,C59,D59,B59,,,,,,$E$13:$E$15,$B$5,$B$6,$B$7,,,$A$28:$A$28,$C$24:$C$33,$B$4,$B$8,FALSE),1,30),"")</f>
      </c>
      <c r="CP59" s="5">
        <f>IFERROR(INDEX(CEA_SHOCK_SOLVE($A$12:$D$15,C59,D59,B59,,,,,,$E$13:$E$15,$B$5,$B$6,$B$7,,,$A$28:$A$28,$C$24:$C$33,$B$4,$B$8,FALSE),1,31),"")</f>
      </c>
      <c r="CQ59" s="5">
        <f>IFERROR(INDEX(CEA_SHOCK_SOLVE($A$12:$D$15,C59,D59,B59,,,,,,$E$13:$E$15,$B$5,$B$6,$B$7,,,$A$28:$A$28,$C$24:$C$33,$B$4,$B$8,FALSE),1,32),"")</f>
      </c>
      <c r="CR59" s="5">
        <f>IFERROR(INDEX(CEA_SHOCK_SOLVE($A$12:$D$15,C59,D59,B59,,,,,,$E$13:$E$15,$B$5,$B$6,$B$7,,,$A$28:$A$28,$C$24:$C$33,$B$4,$B$8,FALSE),1,33),"")</f>
      </c>
      <c r="CS59" s="5">
        <f>IFERROR(INDEX(CEA_SHOCK_SOLVE($A$12:$D$15,C59,D59,B59,,,,,,$E$13:$E$15,$B$5,$B$6,$B$7,,,$A$28:$A$28,$C$24:$C$33,$B$4,$B$8,FALSE),1,34),"")</f>
      </c>
      <c r="CT59" s="5">
        <f>IFERROR(INDEX(CEA_SHOCK_SOLVE($A$12:$D$15,C59,D59,B59,,,,,,$E$13:$E$15,$B$5,$B$6,$B$7,,,$A$28:$A$28,$C$24:$C$33,$B$4,$B$8,FALSE),1,35),"")</f>
      </c>
      <c r="CU59" s="5">
        <f>IFERROR(INDEX(CEA_SHOCK_SOLVE($A$12:$D$15,C59,D59,B59,,,,,,$E$13:$E$15,$B$5,$B$6,$B$7,,,$A$28:$A$28,$C$24:$C$33,$B$4,$B$8,FALSE),1,36),"")</f>
      </c>
      <c r="CV59" s="5">
        <f>IFERROR(INDEX(CEA_SHOCK_SOLVE($A$12:$D$15,C59,D59,B59,,,,,,$E$13:$E$15,$B$5,$B$6,$B$7,,,$A$28:$A$28,$C$24:$C$33,$B$4,$B$8,FALSE),1,37),"")</f>
      </c>
      <c r="CW59" s="5">
        <f>IFERROR(INDEX(CEA_SHOCK_SOLVE($A$12:$D$15,C59,D59,B59,,,,,,$E$13:$E$15,$B$5,$B$6,$B$7,,,$A$28:$A$28,$C$24:$C$33,$B$4,$B$8,FALSE),1,38),"")</f>
      </c>
      <c r="CX59" s="5">
        <f>IFERROR(INDEX(CEA_SHOCK_SOLVE($A$12:$D$15,C59,D59,B59,,,,,,$E$13:$E$15,$B$5,$B$6,$B$7,,,$A$28:$A$28,$C$24:$C$33,$B$4,$B$8,FALSE),1,39),"")</f>
      </c>
      <c r="CY59" s="5">
        <f>IFERROR(INDEX(CEA_SHOCK_SOLVE($A$12:$D$15,C59,D59,B59,,,,,,$E$13:$E$15,$B$5,$B$6,$B$7,,,$A$28:$A$28,$C$24:$C$33,$B$4,$B$8,FALSE),1,40),"")</f>
      </c>
      <c r="CZ59" s="5">
        <f>IFERROR(INDEX(CEA_SHOCK_SOLVE($A$12:$D$15,C59,D59,B59,,,,,,$E$13:$E$15,$B$5,$B$6,$B$7,,,$A$28:$A$28,$C$24:$C$33,$B$4,$B$8,FALSE),1,41),"")</f>
      </c>
      <c r="DA59" s="5">
        <f>IFERROR(INDEX(CEA_SHOCK_SOLVE($A$12:$D$15,C59,D59,B59,,,,,,$E$13:$E$15,$B$5,$B$6,$B$7,,,$A$28:$A$28,$C$24:$C$33,$B$4,$B$8,FALSE),1,42),"")</f>
      </c>
      <c r="DB59" s="5">
        <f>IFERROR(INDEX(CEA_SHOCK_SOLVE($A$12:$D$15,C59,D59,B59,,,,,,$E$13:$E$15,$B$5,$B$6,$B$7,,,$A$28:$A$28,$C$24:$C$33,$B$4,$B$8,FALSE),1,43),"")</f>
      </c>
      <c r="DC59" s="5">
        <f>IFERROR(INDEX(CEA_SHOCK_SOLVE($A$12:$D$15,C59,D59,B59,,,,,,$E$13:$E$15,$B$5,$B$6,$B$7,,,$A$28:$A$28,$C$24:$C$33,$B$4,$B$8,FALSE),1,44),"")</f>
      </c>
      <c r="DD59" s="5">
        <f>IFERROR(INDEX(CEA_SHOCK_SOLVE($A$12:$D$15,C59,D59,B59,,,,,,$E$13:$E$15,$B$5,$B$6,$B$7,,,$A$28:$A$28,$C$24:$C$33,$B$4,$B$8,FALSE),1,45),"")</f>
      </c>
      <c r="DE59" s="5">
        <f>IFERROR(INDEX(CEA_SHOCK_SOLVE($A$12:$D$15,C59,D59,B59,,,,,,$E$13:$E$15,$B$5,$B$6,$B$7,,,$A$28:$A$28,$C$24:$C$33,$B$4,$B$8,FALSE),1,46),"")</f>
      </c>
      <c r="DF59" s="5">
        <f>IFERROR(INDEX(CEA_SHOCK_SOLVE($A$12:$D$15,C59,D59,B59,,,,,,$E$13:$E$15,$B$5,$B$6,$B$7,,,$A$28:$A$28,$C$24:$C$33,$B$4,$B$8,FALSE),1,47),"")</f>
      </c>
      <c r="DG59" s="5">
        <f>IFERROR(INDEX(CEA_SHOCK_SOLVE($A$12:$D$15,C59,D59,B59,,,,,,$E$13:$E$15,$B$5,$B$6,$B$7,,,$A$28:$A$28,$C$24:$C$33,$B$4,$B$8,FALSE),1,48),"")</f>
      </c>
      <c r="DH59" s="5">
        <f>IFERROR(INDEX(CEA_SHOCK_SOLVE($A$12:$D$15,C59,D59,B59,,,,,,$E$13:$E$15,$B$5,$B$6,$B$7,,,$A$28:$A$28,$C$24:$C$33,$B$4,$B$8,FALSE),1,49),"")</f>
      </c>
      <c r="DI59" s="5">
        <f>IFERROR(INDEX(CEA_SHOCK_SOLVE($A$12:$D$15,C59,D59,B59,,,,,,$E$13:$E$15,$B$5,$B$6,$B$7,,,$A$28:$A$28,$C$24:$C$33,$B$4,$B$8,FALSE),1,50),"")</f>
      </c>
      <c r="DJ59" s="5">
        <f>IFERROR(INDEX(CEA_SHOCK_SOLVE($A$12:$D$15,C59,D59,B59,,,,,,$E$13:$E$15,$B$5,$B$6,$B$7,,,$A$28:$A$28,$C$24:$C$33,$B$4,$B$8,FALSE),1,51),"")</f>
      </c>
      <c r="DK59" s="5">
        <f>IFERROR(INDEX(CEA_SHOCK_SOLVE($A$12:$D$15,C59,D59,B59,,,,,,$E$13:$E$15,$B$5,$B$6,$B$7,,,$A$28:$A$28,$C$24:$C$33,$B$4,$B$8,FALSE),1,52),"")</f>
      </c>
      <c r="DL59" s="5">
        <f>IFERROR(INDEX(CEA_SHOCK_SOLVE($A$12:$D$15,C59,D59,B59,,,,,,$E$13:$E$15,$B$5,$B$6,$B$7,,,$A$28:$A$28,$C$24:$C$33,$B$4,$B$8,FALSE),1,53),"")</f>
      </c>
      <c r="DM59" s="5">
        <f>IFERROR(INDEX(CEA_SHOCK_SOLVE($A$12:$D$15,C59,D59,B59,,,,,,$E$13:$E$15,$B$5,$B$6,$B$7,,,$A$28:$A$28,$C$24:$C$33,$B$4,$B$8,FALSE),1,54),"")</f>
      </c>
      <c r="DN59" s="5">
        <f>IFERROR(INDEX(CEA_SHOCK_SOLVE($A$12:$D$15,C59,D59,B59,,,,,,$E$13:$E$15,$B$5,$B$6,$B$7,,,$A$28:$A$28,$C$24:$C$33,$B$4,$B$8,FALSE),1,55),"")</f>
      </c>
      <c r="DO59" s="5">
        <f>IFERROR(INDEX(CEA_SHOCK_SOLVE($A$12:$D$15,C59,D59,B59,,,,,,$E$13:$E$15,$B$5,$B$6,$B$7,,,$A$28:$A$28,$C$24:$C$33,$B$4,$B$8,FALSE),1,56),"")</f>
      </c>
      <c r="DP59" s="5">
        <f>IFERROR(INDEX(CEA_SHOCK_SOLVE($A$12:$D$15,C59,D59,B59,,,,,,$E$13:$E$15,$B$5,$B$6,$B$7,,,$A$28:$A$28,$C$24:$C$33,$B$4,$B$8,FALSE),1,57),"")</f>
      </c>
      <c r="DQ59" s="5">
        <f>IFERROR(INDEX(CEA_SHOCK_SOLVE($A$12:$D$15,C59,D59,B59,,,,,,$E$13:$E$15,$B$5,$B$6,$B$7,,,$A$28:$A$28,$C$24:$C$33,$B$4,$B$8,FALSE),1,58),"")</f>
      </c>
      <c r="DR59" s="5">
        <f>IFERROR(INDEX(CEA_SHOCK_SOLVE($A$12:$D$15,C59,D59,B59,,,,,,$E$13:$E$15,$B$5,$B$6,$B$7,,,$A$28:$A$28,$C$24:$C$33,$B$4,$B$8,FALSE),1,59),"")</f>
      </c>
      <c r="DS59" s="5">
        <f>IFERROR(INDEX(CEA_SHOCK_SOLVE($A$12:$D$15,C59,D59,B59,,,,,,$E$13:$E$15,$B$5,$B$6,$B$7,,,$A$28:$A$28,$C$24:$C$33,$B$4,$B$8,FALSE),1,60),"")</f>
      </c>
      <c r="DT59" s="5">
        <f>IFERROR(INDEX(CEA_SHOCK_SOLVE($A$12:$D$15,C59,D59,B59,,,,,,$E$13:$E$15,$B$5,$B$6,$B$7,,,$A$28:$A$28,$C$24:$C$33,$B$4,$B$8,FALSE),1,61),"")</f>
      </c>
      <c r="DU59" s="5">
        <f>IFERROR(INDEX(CEA_SHOCK_SOLVE($A$12:$D$15,C59,D59,B59,,,,,,$E$13:$E$15,$B$5,$B$6,$B$7,,,$A$28:$A$28,$C$24:$C$33,$B$4,$B$8,FALSE),1,62),"")</f>
      </c>
      <c r="DV59" s="5">
        <f>IFERROR(INDEX(CEA_SHOCK_SOLVE($A$12:$D$15,C59,D59,B59,,,,,,$E$13:$E$15,$B$5,$B$6,$B$7,,,$A$28:$A$28,$C$24:$C$33,$B$4,$B$8,FALSE),1,63),"")</f>
      </c>
      <c r="DW59" s="5">
        <f>IFERROR(INDEX(CEA_SHOCK_SOLVE($A$12:$D$15,C59,D59,B59,,,,,,$E$13:$E$15,$B$5,$B$6,$B$7,,,$A$28:$A$28,$C$24:$C$33,$B$4,$B$8,FALSE),1,64),"")</f>
      </c>
      <c r="DX59" s="5">
        <f>IFERROR(INDEX(CEA_SHOCK_SOLVE($A$12:$D$15,C59,D59,B59,,,,,,$E$13:$E$15,$B$5,$B$6,$B$7,,,$A$28:$A$28,$C$24:$C$33,$B$4,$B$8,FALSE),1,65),"")</f>
      </c>
      <c r="DY59" s="5">
        <f>IFERROR(INDEX(CEA_SHOCK_SOLVE($A$12:$D$15,C59,D59,B59,,,,,,$E$13:$E$15,$B$5,$B$6,$B$7,,,$A$28:$A$28,$C$24:$C$33,$B$4,$B$8,FALSE),1,66),"")</f>
      </c>
    </row>
    <row r="60" spans="1:149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INDEX(CEA_SHOCK_SOLVE($A$12:$D$15,C60,D60,B60,,,,,,$E$13:$E$15,$B$5,$B$6,$B$7,,,$A$24:$A$50,$C$24:$C$33,$B$4,$B$8,FALSE),1,1)</f>
      </c>
      <c r="G60" s="5">
        <f>INDEX(CEA_SHOCK_SOLVE($A$12:$D$15,C60,D60,B60,,,,,,$E$13:$E$15,$B$5,$B$6,$B$7,,,$A$24:$A$50,$C$24:$C$33,$B$4,$B$8,FALSE),1,2)</f>
      </c>
      <c r="H60" s="5">
        <f>INDEX(CEA_SHOCK_SOLVE($A$12:$D$15,C60,D60,B60,,,,,,$E$13:$E$15,$B$5,$B$6,$B$7,,,$A$24:$A$50,$C$24:$C$33,$B$4,$B$8,FALSE),1,3)</f>
      </c>
      <c r="I60" s="5">
        <f>INDEX(CEA_SHOCK_SOLVE($A$12:$D$15,C60,D60,B60,,,,,,$E$13:$E$15,$B$5,$B$6,$B$7,,,$A$24:$A$50,$C$24:$C$33,$B$4,$B$8,FALSE),1,4)</f>
      </c>
      <c r="J60" s="5">
        <f>INDEX(CEA_SHOCK_SOLVE($A$12:$D$15,C60,D60,B60,,,,,,$E$13:$E$15,$B$5,$B$6,$B$7,,,$A$24:$A$50,$C$24:$C$33,$B$4,$B$8,FALSE),1,5)</f>
      </c>
      <c r="K60" s="5">
        <f>INDEX(CEA_SHOCK_SOLVE($A$12:$D$15,C60,D60,B60,,,,,,$E$13:$E$15,$B$5,$B$6,$B$7,,,$A$24:$A$50,$C$24:$C$33,$B$4,$B$8,FALSE),1,6)</f>
      </c>
      <c r="L60" s="5">
        <f>INDEX(CEA_SHOCK_SOLVE($A$12:$D$15,C60,D60,B60,,,,,,$E$13:$E$15,$B$5,$B$6,$B$7,,,$A$24:$A$50,$C$24:$C$33,$B$4,$B$8,FALSE),1,7)</f>
      </c>
      <c r="M60" s="5">
        <f>INDEX(CEA_SHOCK_SOLVE($A$12:$D$15,C60,D60,B60,,,,,,$E$13:$E$15,$B$5,$B$6,$B$7,,,$A$24:$A$50,$C$24:$C$33,$B$4,$B$8,FALSE),1,8)</f>
      </c>
      <c r="N60" s="5">
        <f>INDEX(CEA_SHOCK_SOLVE($A$12:$D$15,C60,D60,B60,,,,,,$E$13:$E$15,$B$5,$B$6,$B$7,,,$A$24:$A$50,$C$24:$C$33,$B$4,$B$8,FALSE),1,9)</f>
      </c>
      <c r="O60" s="5">
        <f>INDEX(CEA_SHOCK_SOLVE($A$12:$D$15,C60,D60,B60,,,,,,$E$13:$E$15,$B$5,$B$6,$B$7,,,$A$24:$A$50,$C$24:$C$33,$B$4,$B$8,FALSE),1,10)</f>
      </c>
      <c r="P60" s="5">
        <f>INDEX(CEA_SHOCK_SOLVE($A$12:$D$15,C60,D60,B60,,,,,,$E$13:$E$15,$B$5,$B$6,$B$7,,,$A$24:$A$50,$C$24:$C$33,$B$4,$B$8,FALSE),1,11)</f>
      </c>
      <c r="Q60" s="5">
        <f>INDEX(CEA_SHOCK_SOLVE($A$12:$D$15,C60,D60,B60,,,,,,$E$13:$E$15,$B$5,$B$6,$B$7,,,$A$24:$A$50,$C$24:$C$33,$B$4,$B$8,FALSE),1,12)</f>
      </c>
      <c r="R60" s="5">
        <f>INDEX(CEA_SHOCK_SOLVE($A$12:$D$15,C60,D60,B60,,,,,,$E$13:$E$15,$B$5,$B$6,$B$7,,,$A$24:$A$50,$C$24:$C$33,$B$4,$B$8,FALSE),1,13)</f>
      </c>
      <c r="S60" s="5">
        <f>INDEX(CEA_SHOCK_SOLVE($A$12:$D$15,C60,D60,B60,,,,,,$E$13:$E$15,$B$5,$B$6,$B$7,,,$A$24:$A$50,$C$24:$C$33,$B$4,$B$8,FALSE),1,14)</f>
      </c>
      <c r="T60" s="5">
        <f>INDEX(CEA_SHOCK_SOLVE($A$12:$D$15,C60,D60,B60,,,,,,$E$13:$E$15,$B$5,$B$6,$B$7,,,$A$24:$A$50,$C$24:$C$33,$B$4,$B$8,FALSE),1,15)</f>
      </c>
      <c r="U60" s="5">
        <f>INDEX(CEA_SHOCK_SOLVE($A$12:$D$15,C60,D60,B60,,,,,,$E$13:$E$15,$B$5,$B$6,$B$7,,,$A$24:$A$50,$C$24:$C$33,$B$4,$B$8,FALSE),1,16)</f>
      </c>
      <c r="V60" s="5">
        <f>INDEX(CEA_SHOCK_SOLVE($A$12:$D$15,C60,D60,B60,,,,,,$E$13:$E$15,$B$5,$B$6,$B$7,,,$A$24:$A$50,$C$24:$C$33,$B$4,$B$8,FALSE),1,17)</f>
      </c>
      <c r="W60" s="5">
        <f>INDEX(CEA_SHOCK_SOLVE($A$12:$D$15,C60,D60,B60,,,,,,$E$13:$E$15,$B$5,$B$6,$B$7,,,$A$24:$A$50,$C$24:$C$33,$B$4,$B$8,FALSE),1,18)</f>
      </c>
      <c r="X60" s="5">
        <f>INDEX(CEA_SHOCK_SOLVE($A$12:$D$15,C60,D60,B60,,,,,,$E$13:$E$15,$B$5,$B$6,$B$7,,,$A$24:$A$50,$C$24:$C$33,$B$4,$B$8,FALSE),1,19)</f>
      </c>
      <c r="Y60" s="5">
        <f>INDEX(CEA_SHOCK_SOLVE($A$12:$D$15,C60,D60,B60,,,,,,$E$13:$E$15,$B$5,$B$6,$B$7,,,$A$24:$A$50,$C$24:$C$33,$B$4,$B$8,FALSE),1,20)</f>
      </c>
      <c r="Z60" s="5">
        <f>INDEX(CEA_SHOCK_SOLVE($A$12:$D$15,C60,D60,B60,,,,,,$E$13:$E$15,$B$5,$B$6,$B$7,,,$A$24:$A$50,$C$24:$C$33,$B$4,$B$8,FALSE),1,21)</f>
      </c>
      <c r="AA60" s="5">
        <f>INDEX(CEA_SHOCK_SOLVE($A$12:$D$15,C60,D60,B60,,,,,,$E$13:$E$15,$B$5,$B$6,$B$7,,,$A$24:$A$50,$C$24:$C$33,$B$4,$B$8,FALSE),1,22)</f>
      </c>
      <c r="AB60" s="5">
        <f>INDEX(CEA_SHOCK_SOLVE($A$12:$D$15,C60,D60,B60,,,,,,$E$13:$E$15,$B$5,$B$6,$B$7,,,$A$24:$A$50,$C$24:$C$33,$B$4,$B$8,FALSE),1,23)</f>
      </c>
      <c r="AC60" s="5">
        <f>INDEX(CEA_SHOCK_SOLVE($A$12:$D$15,C60,D60,B60,,,,,,$E$13:$E$15,$B$5,$B$6,$B$7,,,$A$24:$A$50,$C$24:$C$33,$B$4,$B$8,FALSE),1,24)</f>
      </c>
      <c r="AD60" s="5">
        <f>INDEX(CEA_SHOCK_SOLVE($A$12:$D$15,C60,D60,B60,,,,,,$E$13:$E$15,$B$5,$B$6,$B$7,,,$A$24:$A$50,$C$24:$C$33,$B$4,$B$8,FALSE),1,25)</f>
      </c>
      <c r="AE60" s="5">
        <f>INDEX(CEA_SHOCK_SOLVE($A$12:$D$15,C60,D60,B60,,,,,,$E$13:$E$15,$B$5,$B$6,$B$7,,,$A$24:$A$50,$C$24:$C$33,$B$4,$B$8,FALSE),1,26)</f>
      </c>
      <c r="AF60" s="5">
        <f>INDEX(CEA_SHOCK_SOLVE($A$12:$D$15,C60,D60,B60,,,,,,$E$13:$E$15,$B$5,$B$6,$B$7,,,$A$24:$A$50,$C$24:$C$33,$B$4,$B$8,FALSE),1,27)</f>
      </c>
      <c r="AG60" s="5">
        <f>INDEX(CEA_SHOCK_SOLVE($A$12:$D$15,C60,D60,B60,,,,,,$E$13:$E$15,$B$5,$B$6,$B$7,,,$A$24:$A$50,$C$24:$C$33,$B$4,$B$8,FALSE),1,28)</f>
      </c>
      <c r="AH60" s="5">
        <f>INDEX(CEA_SHOCK_SOLVE($A$12:$D$15,C60,D60,B60,,,,,,$E$13:$E$15,$B$5,$B$6,$B$7,,,$A$24:$A$50,$C$24:$C$33,$B$4,$B$8,FALSE),1,29)</f>
      </c>
      <c r="AI60" s="5">
        <f>INDEX(CEA_SHOCK_SOLVE($A$12:$D$15,C60,D60,B60,,,,,,$E$13:$E$15,$B$5,$B$6,$B$7,,,$A$24:$A$50,$C$24:$C$33,$B$4,$B$8,FALSE),1,30)</f>
      </c>
      <c r="AJ60" s="5">
        <f>INDEX(CEA_SHOCK_SOLVE($A$12:$D$15,C60,D60,B60,,,,,,$E$13:$E$15,$B$5,$B$6,$B$7,,,$A$24:$A$50,$C$24:$C$33,$B$4,$B$8,FALSE),1,31)</f>
      </c>
      <c r="AK60" s="5">
        <f>INDEX(CEA_SHOCK_SOLVE($A$12:$D$15,C60,D60,B60,,,,,,$E$13:$E$15,$B$5,$B$6,$B$7,,,$A$24:$A$50,$C$24:$C$33,$B$4,$B$8,FALSE),1,32)</f>
      </c>
      <c r="AL60" s="5">
        <f>INDEX(CEA_SHOCK_SOLVE($A$12:$D$15,C60,D60,B60,,,,,,$E$13:$E$15,$B$5,$B$6,$B$7,,,$A$24:$A$50,$C$24:$C$33,$B$4,$B$8,FALSE),1,33)</f>
      </c>
      <c r="AM60" s="5">
        <f>INDEX(CEA_SHOCK_SOLVE($A$12:$D$15,C60,D60,B60,,,,,,$E$13:$E$15,$B$5,$B$6,$B$7,,,$A$24:$A$50,$C$24:$C$33,$B$4,$B$8,FALSE),1,34)</f>
      </c>
      <c r="AN60" s="5">
        <f>INDEX(CEA_SHOCK_SOLVE($A$12:$D$15,C60,D60,B60,,,,,,$E$13:$E$15,$B$5,$B$6,$B$7,,,$A$24:$A$50,$C$24:$C$33,$B$4,$B$8,FALSE),1,35)</f>
      </c>
      <c r="AO60" s="5">
        <f>INDEX(CEA_SHOCK_SOLVE($A$12:$D$15,C60,D60,B60,,,,,,$E$13:$E$15,$B$5,$B$6,$B$7,,,$A$24:$A$50,$C$24:$C$33,$B$4,$B$8,FALSE),1,36)</f>
      </c>
      <c r="AP60" s="5">
        <f>INDEX(CEA_SHOCK_SOLVE($A$12:$D$15,C60,D60,B60,,,,,,$E$13:$E$15,$B$5,$B$6,$B$7,,,$A$24:$A$50,$C$24:$C$33,$B$4,$B$8,FALSE),1,37)</f>
      </c>
      <c r="AQ60" s="5">
        <f>INDEX(CEA_SHOCK_SOLVE($A$12:$D$15,C60,D60,B60,,,,,,$E$13:$E$15,$B$5,$B$6,$B$7,,,$A$24:$A$50,$C$24:$C$33,$B$4,$B$8,FALSE),1,38)</f>
      </c>
      <c r="AR60" s="5">
        <f>INDEX(CEA_SHOCK_SOLVE($A$12:$D$15,C60,D60,B60,,,,,,$E$13:$E$15,$B$5,$B$6,$B$7,,,$A$24:$A$50,$C$24:$C$33,$B$4,$B$8,FALSE),1,39)</f>
      </c>
      <c r="AS60" s="5">
        <f>INDEX(CEA_SHOCK_SOLVE($A$12:$D$15,C60,D60,B60,,,,,,$E$13:$E$15,$B$5,$B$6,$B$7,,,$A$24:$A$50,$C$24:$C$33,$B$4,$B$8,FALSE),1,40)</f>
      </c>
      <c r="AT60" s="5">
        <f>INDEX(CEA_SHOCK_SOLVE($A$12:$D$15,C60,D60,B60,,,,,,$E$13:$E$15,$B$5,$B$6,$B$7,,,$A$24:$A$50,$C$24:$C$33,$B$4,$B$8,FALSE),1,41)</f>
      </c>
      <c r="AU60" s="5">
        <f>INDEX(CEA_SHOCK_SOLVE($A$12:$D$15,C60,D60,B60,,,,,,$E$13:$E$15,$B$5,$B$6,$B$7,,,$A$24:$A$50,$C$24:$C$33,$B$4,$B$8,FALSE),1,42)</f>
      </c>
      <c r="AV60" s="5">
        <f>INDEX(CEA_SHOCK_SOLVE($A$12:$D$15,C60,D60,B60,,,,,,$E$13:$E$15,$B$5,$B$6,$B$7,,,$A$24:$A$50,$C$24:$C$33,$B$4,$B$8,FALSE),1,43)</f>
      </c>
      <c r="AW60" s="5">
        <f>INDEX(CEA_SHOCK_SOLVE($A$12:$D$15,C60,D60,B60,,,,,,$E$13:$E$15,$B$5,$B$6,$B$7,,,$A$24:$A$50,$C$24:$C$33,$B$4,$B$8,FALSE),1,44)</f>
      </c>
      <c r="AX60" s="5">
        <f>INDEX(CEA_SHOCK_SOLVE($A$12:$D$15,C60,D60,B60,,,,,,$E$13:$E$15,$B$5,$B$6,$B$7,,,$A$24:$A$50,$C$24:$C$33,$B$4,$B$8,FALSE),1,45)</f>
      </c>
      <c r="AY60" s="5">
        <f>INDEX(CEA_SHOCK_SOLVE($A$12:$D$15,C60,D60,B60,,,,,,$E$13:$E$15,$B$5,$B$6,$B$7,,,$A$24:$A$50,$C$24:$C$33,$B$4,$B$8,FALSE),1,46)</f>
      </c>
      <c r="AZ60" s="5">
        <f>INDEX(CEA_SHOCK_SOLVE($A$12:$D$15,C60,D60,B60,,,,,,$E$13:$E$15,$B$5,$B$6,$B$7,,,$A$24:$A$50,$C$24:$C$33,$B$4,$B$8,FALSE),1,47)</f>
      </c>
      <c r="BA60" s="5">
        <f>INDEX(CEA_SHOCK_SOLVE($A$12:$D$15,C60,D60,B60,,,,,,$E$13:$E$15,$B$5,$B$6,$B$7,,,$A$24:$A$50,$C$24:$C$33,$B$4,$B$8,FALSE),1,48)</f>
      </c>
      <c r="BB60" s="5">
        <f>INDEX(CEA_SHOCK_SOLVE($A$12:$D$15,C60,D60,B60,,,,,,$E$13:$E$15,$B$5,$B$6,$B$7,,,$A$24:$A$50,$C$24:$C$33,$B$4,$B$8,FALSE),1,49)</f>
      </c>
      <c r="BC60" s="5">
        <f>INDEX(CEA_SHOCK_SOLVE($A$12:$D$15,C60,D60,B60,,,,,,$E$13:$E$15,$B$5,$B$6,$B$7,,,$A$24:$A$50,$C$24:$C$33,$B$4,$B$8,FALSE),1,50)</f>
      </c>
      <c r="BD60" s="5">
        <f>INDEX(CEA_SHOCK_SOLVE($A$12:$D$15,C60,D60,B60,,,,,,$E$13:$E$15,$B$5,$B$6,$B$7,,,$A$24:$A$50,$C$24:$C$33,$B$4,$B$8,FALSE),1,51)</f>
      </c>
      <c r="BE60" s="5">
        <f>INDEX(CEA_SHOCK_SOLVE($A$12:$D$15,C60,D60,B60,,,,,,$E$13:$E$15,$B$5,$B$6,$B$7,,,$A$24:$A$50,$C$24:$C$33,$B$4,$B$8,FALSE),1,52)</f>
      </c>
      <c r="BF60" s="5">
        <f>INDEX(CEA_SHOCK_SOLVE($A$12:$D$15,C60,D60,B60,,,,,,$E$13:$E$15,$B$5,$B$6,$B$7,,,$A$24:$A$50,$C$24:$C$33,$B$4,$B$8,FALSE),1,53)</f>
      </c>
      <c r="BG60" s="5">
        <f>INDEX(CEA_SHOCK_SOLVE($A$12:$D$15,C60,D60,B60,,,,,,$E$13:$E$15,$B$5,$B$6,$B$7,,,$A$24:$A$50,$C$24:$C$33,$B$4,$B$8,FALSE),1,54)</f>
      </c>
      <c r="BH60" s="5">
        <f>IFERROR(INDEX(CEA_SHOCK_SOLVE($A$12:$D$15,C60,D60,B60,,,,,,$E$13:$E$15,$B$5,$B$6,$B$7,,,$A$41:$A$50,,$B$4,$B$8,FALSE),1,4),"")</f>
      </c>
      <c r="BI60" s="5">
        <f>IFERROR(INDEX(CEA_SHOCK_SOLVE($A$12:$D$15,C60,D60,B60,,,,,,$E$13:$E$15,$B$5,$B$6,$B$7,,,$A$41:$A$50,,$B$4,$B$8,FALSE),1,5),"")</f>
      </c>
      <c r="BJ60" s="5">
        <f>IFERROR(INDEX(CEA_SHOCK_SOLVE($A$12:$D$15,C60,D60,B60,,,,,,$E$13:$E$15,$B$5,$B$6,$B$7,,,$A$41:$A$50,,$B$4,$B$8,FALSE),1,6),"")</f>
      </c>
      <c r="BK60" s="5">
        <f>IFERROR(INDEX(CEA_SHOCK_SOLVE($A$12:$D$15,C60,D60,B60,,,,,,$E$13:$E$15,$B$5,$B$6,$B$7,,,$A$41:$A$50,,$B$4,$B$8,FALSE),1,7),"")</f>
      </c>
      <c r="BL60" s="5">
        <f>IFERROR(INDEX(CEA_SHOCK_SOLVE($A$12:$D$15,C60,D60,B60,,,,,,$E$13:$E$15,$B$5,$B$6,$B$7,,,$A$41:$A$50,,$B$4,$B$8,FALSE),1,8),"")</f>
      </c>
      <c r="BM60" s="5">
        <f>IFERROR(INDEX(CEA_SHOCK_SOLVE($A$12:$D$15,C60,D60,B60,,,,,,$E$13:$E$15,$B$5,$B$6,$B$7,,,$A$41:$A$50,,$B$4,$B$8,FALSE),1,9),"")</f>
      </c>
      <c r="BN60" s="5">
        <f>IFERROR(INDEX(CEA_SHOCK_SOLVE($A$12:$D$15,C60,D60,B60,,,,,,$E$13:$E$15,$B$5,$B$6,$B$7,,,$A$41:$A$50,,$B$4,$B$8,FALSE),1,10),"")</f>
      </c>
      <c r="BO60" s="5">
        <f>IFERROR(INDEX(CEA_SHOCK_SOLVE($A$12:$D$15,C60,D60,B60,,,,,,$E$13:$E$15,$B$5,$B$6,$B$7,,,$A$41:$A$50,,$B$4,$B$8,FALSE),1,11),"")</f>
      </c>
      <c r="BP60" s="5">
        <f>IFERROR(INDEX(CEA_SHOCK_SOLVE($A$12:$D$15,C60,D60,B60,,,,,,$E$13:$E$15,$B$5,$B$6,$B$7,,,$A$41:$A$50,,$B$4,$B$8,FALSE),1,12),"")</f>
      </c>
      <c r="BQ60" s="5">
        <f>IFERROR(INDEX(CEA_SHOCK_SOLVE($A$12:$D$15,C60,D60,B60,,,,,,$E$13:$E$15,$B$5,$B$6,$B$7,,,$A$41:$A$50,,$B$4,$B$8,FALSE),1,13),"")</f>
      </c>
      <c r="BR60" s="5">
        <f>IFERROR(INDEX(CEA_SHOCK_SOLVE($A$12:$D$15,C60,D60,B60,,,,,,$E$13:$E$15,$B$5,$B$6,$B$7,,,$A$28:$A$28,$C$24:$C$33,$B$4,$B$8,FALSE),1,7),"")</f>
      </c>
      <c r="BS60" s="5">
        <f>IFERROR(INDEX(CEA_SHOCK_SOLVE($A$12:$D$15,C60,D60,B60,,,,,,$E$13:$E$15,$B$5,$B$6,$B$7,,,$A$28:$A$28,$C$24:$C$33,$B$4,$B$8,FALSE),1,8),"")</f>
      </c>
      <c r="BT60" s="5">
        <f>IFERROR(INDEX(CEA_SHOCK_SOLVE($A$12:$D$15,C60,D60,B60,,,,,,$E$13:$E$15,$B$5,$B$6,$B$7,,,$A$28:$A$28,$C$24:$C$33,$B$4,$B$8,FALSE),1,9),"")</f>
      </c>
      <c r="BU60" s="5">
        <f>IFERROR(INDEX(CEA_SHOCK_SOLVE($A$12:$D$15,C60,D60,B60,,,,,,$E$13:$E$15,$B$5,$B$6,$B$7,,,$A$28:$A$28,$C$24:$C$33,$B$4,$B$8,FALSE),1,10),"")</f>
      </c>
      <c r="BV60" s="5">
        <f>IFERROR(INDEX(CEA_SHOCK_SOLVE($A$12:$D$15,C60,D60,B60,,,,,,$E$13:$E$15,$B$5,$B$6,$B$7,,,$A$28:$A$28,$C$24:$C$33,$B$4,$B$8,FALSE),1,11),"")</f>
      </c>
      <c r="BW60" s="5">
        <f>IFERROR(INDEX(CEA_SHOCK_SOLVE($A$12:$D$15,C60,D60,B60,,,,,,$E$13:$E$15,$B$5,$B$6,$B$7,,,$A$28:$A$28,$C$24:$C$33,$B$4,$B$8,FALSE),1,12),"")</f>
      </c>
      <c r="BX60" s="5">
        <f>IFERROR(INDEX(CEA_SHOCK_SOLVE($A$12:$D$15,C60,D60,B60,,,,,,$E$13:$E$15,$B$5,$B$6,$B$7,,,$A$28:$A$28,$C$24:$C$33,$B$4,$B$8,FALSE),1,13),"")</f>
      </c>
      <c r="BY60" s="5">
        <f>IFERROR(INDEX(CEA_SHOCK_SOLVE($A$12:$D$15,C60,D60,B60,,,,,,$E$13:$E$15,$B$5,$B$6,$B$7,,,$A$28:$A$28,$C$24:$C$33,$B$4,$B$8,FALSE),1,14),"")</f>
      </c>
      <c r="BZ60" s="5">
        <f>IFERROR(INDEX(CEA_SHOCK_SOLVE($A$12:$D$15,C60,D60,B60,,,,,,$E$13:$E$15,$B$5,$B$6,$B$7,,,$A$28:$A$28,$C$24:$C$33,$B$4,$B$8,FALSE),1,15),"")</f>
      </c>
      <c r="CA60" s="5">
        <f>IFERROR(INDEX(CEA_SHOCK_SOLVE($A$12:$D$15,C60,D60,B60,,,,,,$E$13:$E$15,$B$5,$B$6,$B$7,,,$A$28:$A$28,$C$24:$C$33,$B$4,$B$8,FALSE),1,16),"")</f>
      </c>
      <c r="CB60" s="5">
        <f>IFERROR(INDEX(CEA_SHOCK_SOLVE($A$12:$D$15,C60,D60,B60,,,,,,$E$13:$E$15,$B$5,$B$6,$B$7,,,$A$28:$A$28,$C$24:$C$33,$B$4,$B$8,FALSE),1,17),"")</f>
      </c>
      <c r="CC60" s="5">
        <f>IFERROR(INDEX(CEA_SHOCK_SOLVE($A$12:$D$15,C60,D60,B60,,,,,,$E$13:$E$15,$B$5,$B$6,$B$7,,,$A$28:$A$28,$C$24:$C$33,$B$4,$B$8,FALSE),1,18),"")</f>
      </c>
      <c r="CD60" s="5">
        <f>IFERROR(INDEX(CEA_SHOCK_SOLVE($A$12:$D$15,C60,D60,B60,,,,,,$E$13:$E$15,$B$5,$B$6,$B$7,,,$A$28:$A$28,$C$24:$C$33,$B$4,$B$8,FALSE),1,19),"")</f>
      </c>
      <c r="CE60" s="5">
        <f>IFERROR(INDEX(CEA_SHOCK_SOLVE($A$12:$D$15,C60,D60,B60,,,,,,$E$13:$E$15,$B$5,$B$6,$B$7,,,$A$28:$A$28,$C$24:$C$33,$B$4,$B$8,FALSE),1,20),"")</f>
      </c>
      <c r="CF60" s="5">
        <f>IFERROR(INDEX(CEA_SHOCK_SOLVE($A$12:$D$15,C60,D60,B60,,,,,,$E$13:$E$15,$B$5,$B$6,$B$7,,,$A$28:$A$28,$C$24:$C$33,$B$4,$B$8,FALSE),1,21),"")</f>
      </c>
      <c r="CG60" s="5">
        <f>IFERROR(INDEX(CEA_SHOCK_SOLVE($A$12:$D$15,C60,D60,B60,,,,,,$E$13:$E$15,$B$5,$B$6,$B$7,,,$A$28:$A$28,$C$24:$C$33,$B$4,$B$8,FALSE),1,22),"")</f>
      </c>
      <c r="CH60" s="5">
        <f>IFERROR(INDEX(CEA_SHOCK_SOLVE($A$12:$D$15,C60,D60,B60,,,,,,$E$13:$E$15,$B$5,$B$6,$B$7,,,$A$28:$A$28,$C$24:$C$33,$B$4,$B$8,FALSE),1,23),"")</f>
      </c>
      <c r="CI60" s="5">
        <f>IFERROR(INDEX(CEA_SHOCK_SOLVE($A$12:$D$15,C60,D60,B60,,,,,,$E$13:$E$15,$B$5,$B$6,$B$7,,,$A$28:$A$28,$C$24:$C$33,$B$4,$B$8,FALSE),1,24),"")</f>
      </c>
      <c r="CJ60" s="5">
        <f>IFERROR(INDEX(CEA_SHOCK_SOLVE($A$12:$D$15,C60,D60,B60,,,,,,$E$13:$E$15,$B$5,$B$6,$B$7,,,$A$28:$A$28,$C$24:$C$33,$B$4,$B$8,FALSE),1,25),"")</f>
      </c>
      <c r="CK60" s="5">
        <f>IFERROR(INDEX(CEA_SHOCK_SOLVE($A$12:$D$15,C60,D60,B60,,,,,,$E$13:$E$15,$B$5,$B$6,$B$7,,,$A$28:$A$28,$C$24:$C$33,$B$4,$B$8,FALSE),1,26),"")</f>
      </c>
      <c r="CL60" s="5">
        <f>IFERROR(INDEX(CEA_SHOCK_SOLVE($A$12:$D$15,C60,D60,B60,,,,,,$E$13:$E$15,$B$5,$B$6,$B$7,,,$A$28:$A$28,$C$24:$C$33,$B$4,$B$8,FALSE),1,27),"")</f>
      </c>
      <c r="CM60" s="5">
        <f>IFERROR(INDEX(CEA_SHOCK_SOLVE($A$12:$D$15,C60,D60,B60,,,,,,$E$13:$E$15,$B$5,$B$6,$B$7,,,$A$28:$A$28,$C$24:$C$33,$B$4,$B$8,FALSE),1,28),"")</f>
      </c>
      <c r="CN60" s="5">
        <f>IFERROR(INDEX(CEA_SHOCK_SOLVE($A$12:$D$15,C60,D60,B60,,,,,,$E$13:$E$15,$B$5,$B$6,$B$7,,,$A$28:$A$28,$C$24:$C$33,$B$4,$B$8,FALSE),1,29),"")</f>
      </c>
      <c r="CO60" s="5">
        <f>IFERROR(INDEX(CEA_SHOCK_SOLVE($A$12:$D$15,C60,D60,B60,,,,,,$E$13:$E$15,$B$5,$B$6,$B$7,,,$A$28:$A$28,$C$24:$C$33,$B$4,$B$8,FALSE),1,30),"")</f>
      </c>
      <c r="CP60" s="5">
        <f>IFERROR(INDEX(CEA_SHOCK_SOLVE($A$12:$D$15,C60,D60,B60,,,,,,$E$13:$E$15,$B$5,$B$6,$B$7,,,$A$28:$A$28,$C$24:$C$33,$B$4,$B$8,FALSE),1,31),"")</f>
      </c>
      <c r="CQ60" s="5">
        <f>IFERROR(INDEX(CEA_SHOCK_SOLVE($A$12:$D$15,C60,D60,B60,,,,,,$E$13:$E$15,$B$5,$B$6,$B$7,,,$A$28:$A$28,$C$24:$C$33,$B$4,$B$8,FALSE),1,32),"")</f>
      </c>
      <c r="CR60" s="5">
        <f>IFERROR(INDEX(CEA_SHOCK_SOLVE($A$12:$D$15,C60,D60,B60,,,,,,$E$13:$E$15,$B$5,$B$6,$B$7,,,$A$28:$A$28,$C$24:$C$33,$B$4,$B$8,FALSE),1,33),"")</f>
      </c>
      <c r="CS60" s="5">
        <f>IFERROR(INDEX(CEA_SHOCK_SOLVE($A$12:$D$15,C60,D60,B60,,,,,,$E$13:$E$15,$B$5,$B$6,$B$7,,,$A$28:$A$28,$C$24:$C$33,$B$4,$B$8,FALSE),1,34),"")</f>
      </c>
      <c r="CT60" s="5">
        <f>IFERROR(INDEX(CEA_SHOCK_SOLVE($A$12:$D$15,C60,D60,B60,,,,,,$E$13:$E$15,$B$5,$B$6,$B$7,,,$A$28:$A$28,$C$24:$C$33,$B$4,$B$8,FALSE),1,35),"")</f>
      </c>
      <c r="CU60" s="5">
        <f>IFERROR(INDEX(CEA_SHOCK_SOLVE($A$12:$D$15,C60,D60,B60,,,,,,$E$13:$E$15,$B$5,$B$6,$B$7,,,$A$28:$A$28,$C$24:$C$33,$B$4,$B$8,FALSE),1,36),"")</f>
      </c>
      <c r="CV60" s="5">
        <f>IFERROR(INDEX(CEA_SHOCK_SOLVE($A$12:$D$15,C60,D60,B60,,,,,,$E$13:$E$15,$B$5,$B$6,$B$7,,,$A$28:$A$28,$C$24:$C$33,$B$4,$B$8,FALSE),1,37),"")</f>
      </c>
      <c r="CW60" s="5">
        <f>IFERROR(INDEX(CEA_SHOCK_SOLVE($A$12:$D$15,C60,D60,B60,,,,,,$E$13:$E$15,$B$5,$B$6,$B$7,,,$A$28:$A$28,$C$24:$C$33,$B$4,$B$8,FALSE),1,38),"")</f>
      </c>
      <c r="CX60" s="5">
        <f>IFERROR(INDEX(CEA_SHOCK_SOLVE($A$12:$D$15,C60,D60,B60,,,,,,$E$13:$E$15,$B$5,$B$6,$B$7,,,$A$28:$A$28,$C$24:$C$33,$B$4,$B$8,FALSE),1,39),"")</f>
      </c>
      <c r="CY60" s="5">
        <f>IFERROR(INDEX(CEA_SHOCK_SOLVE($A$12:$D$15,C60,D60,B60,,,,,,$E$13:$E$15,$B$5,$B$6,$B$7,,,$A$28:$A$28,$C$24:$C$33,$B$4,$B$8,FALSE),1,40),"")</f>
      </c>
      <c r="CZ60" s="5">
        <f>IFERROR(INDEX(CEA_SHOCK_SOLVE($A$12:$D$15,C60,D60,B60,,,,,,$E$13:$E$15,$B$5,$B$6,$B$7,,,$A$28:$A$28,$C$24:$C$33,$B$4,$B$8,FALSE),1,41),"")</f>
      </c>
      <c r="DA60" s="5">
        <f>IFERROR(INDEX(CEA_SHOCK_SOLVE($A$12:$D$15,C60,D60,B60,,,,,,$E$13:$E$15,$B$5,$B$6,$B$7,,,$A$28:$A$28,$C$24:$C$33,$B$4,$B$8,FALSE),1,42),"")</f>
      </c>
      <c r="DB60" s="5">
        <f>IFERROR(INDEX(CEA_SHOCK_SOLVE($A$12:$D$15,C60,D60,B60,,,,,,$E$13:$E$15,$B$5,$B$6,$B$7,,,$A$28:$A$28,$C$24:$C$33,$B$4,$B$8,FALSE),1,43),"")</f>
      </c>
      <c r="DC60" s="5">
        <f>IFERROR(INDEX(CEA_SHOCK_SOLVE($A$12:$D$15,C60,D60,B60,,,,,,$E$13:$E$15,$B$5,$B$6,$B$7,,,$A$28:$A$28,$C$24:$C$33,$B$4,$B$8,FALSE),1,44),"")</f>
      </c>
      <c r="DD60" s="5">
        <f>IFERROR(INDEX(CEA_SHOCK_SOLVE($A$12:$D$15,C60,D60,B60,,,,,,$E$13:$E$15,$B$5,$B$6,$B$7,,,$A$28:$A$28,$C$24:$C$33,$B$4,$B$8,FALSE),1,45),"")</f>
      </c>
      <c r="DE60" s="5">
        <f>IFERROR(INDEX(CEA_SHOCK_SOLVE($A$12:$D$15,C60,D60,B60,,,,,,$E$13:$E$15,$B$5,$B$6,$B$7,,,$A$28:$A$28,$C$24:$C$33,$B$4,$B$8,FALSE),1,46),"")</f>
      </c>
      <c r="DF60" s="5">
        <f>IFERROR(INDEX(CEA_SHOCK_SOLVE($A$12:$D$15,C60,D60,B60,,,,,,$E$13:$E$15,$B$5,$B$6,$B$7,,,$A$28:$A$28,$C$24:$C$33,$B$4,$B$8,FALSE),1,47),"")</f>
      </c>
      <c r="DG60" s="5">
        <f>IFERROR(INDEX(CEA_SHOCK_SOLVE($A$12:$D$15,C60,D60,B60,,,,,,$E$13:$E$15,$B$5,$B$6,$B$7,,,$A$28:$A$28,$C$24:$C$33,$B$4,$B$8,FALSE),1,48),"")</f>
      </c>
      <c r="DH60" s="5">
        <f>IFERROR(INDEX(CEA_SHOCK_SOLVE($A$12:$D$15,C60,D60,B60,,,,,,$E$13:$E$15,$B$5,$B$6,$B$7,,,$A$28:$A$28,$C$24:$C$33,$B$4,$B$8,FALSE),1,49),"")</f>
      </c>
      <c r="DI60" s="5">
        <f>IFERROR(INDEX(CEA_SHOCK_SOLVE($A$12:$D$15,C60,D60,B60,,,,,,$E$13:$E$15,$B$5,$B$6,$B$7,,,$A$28:$A$28,$C$24:$C$33,$B$4,$B$8,FALSE),1,50),"")</f>
      </c>
      <c r="DJ60" s="5">
        <f>IFERROR(INDEX(CEA_SHOCK_SOLVE($A$12:$D$15,C60,D60,B60,,,,,,$E$13:$E$15,$B$5,$B$6,$B$7,,,$A$28:$A$28,$C$24:$C$33,$B$4,$B$8,FALSE),1,51),"")</f>
      </c>
      <c r="DK60" s="5">
        <f>IFERROR(INDEX(CEA_SHOCK_SOLVE($A$12:$D$15,C60,D60,B60,,,,,,$E$13:$E$15,$B$5,$B$6,$B$7,,,$A$28:$A$28,$C$24:$C$33,$B$4,$B$8,FALSE),1,52),"")</f>
      </c>
      <c r="DL60" s="5">
        <f>IFERROR(INDEX(CEA_SHOCK_SOLVE($A$12:$D$15,C60,D60,B60,,,,,,$E$13:$E$15,$B$5,$B$6,$B$7,,,$A$28:$A$28,$C$24:$C$33,$B$4,$B$8,FALSE),1,53),"")</f>
      </c>
      <c r="DM60" s="5">
        <f>IFERROR(INDEX(CEA_SHOCK_SOLVE($A$12:$D$15,C60,D60,B60,,,,,,$E$13:$E$15,$B$5,$B$6,$B$7,,,$A$28:$A$28,$C$24:$C$33,$B$4,$B$8,FALSE),1,54),"")</f>
      </c>
      <c r="DN60" s="5">
        <f>IFERROR(INDEX(CEA_SHOCK_SOLVE($A$12:$D$15,C60,D60,B60,,,,,,$E$13:$E$15,$B$5,$B$6,$B$7,,,$A$28:$A$28,$C$24:$C$33,$B$4,$B$8,FALSE),1,55),"")</f>
      </c>
      <c r="DO60" s="5">
        <f>IFERROR(INDEX(CEA_SHOCK_SOLVE($A$12:$D$15,C60,D60,B60,,,,,,$E$13:$E$15,$B$5,$B$6,$B$7,,,$A$28:$A$28,$C$24:$C$33,$B$4,$B$8,FALSE),1,56),"")</f>
      </c>
      <c r="DP60" s="5">
        <f>IFERROR(INDEX(CEA_SHOCK_SOLVE($A$12:$D$15,C60,D60,B60,,,,,,$E$13:$E$15,$B$5,$B$6,$B$7,,,$A$28:$A$28,$C$24:$C$33,$B$4,$B$8,FALSE),1,57),"")</f>
      </c>
      <c r="DQ60" s="5">
        <f>IFERROR(INDEX(CEA_SHOCK_SOLVE($A$12:$D$15,C60,D60,B60,,,,,,$E$13:$E$15,$B$5,$B$6,$B$7,,,$A$28:$A$28,$C$24:$C$33,$B$4,$B$8,FALSE),1,58),"")</f>
      </c>
      <c r="DR60" s="5">
        <f>IFERROR(INDEX(CEA_SHOCK_SOLVE($A$12:$D$15,C60,D60,B60,,,,,,$E$13:$E$15,$B$5,$B$6,$B$7,,,$A$28:$A$28,$C$24:$C$33,$B$4,$B$8,FALSE),1,59),"")</f>
      </c>
      <c r="DS60" s="5">
        <f>IFERROR(INDEX(CEA_SHOCK_SOLVE($A$12:$D$15,C60,D60,B60,,,,,,$E$13:$E$15,$B$5,$B$6,$B$7,,,$A$28:$A$28,$C$24:$C$33,$B$4,$B$8,FALSE),1,60),"")</f>
      </c>
      <c r="DT60" s="5">
        <f>IFERROR(INDEX(CEA_SHOCK_SOLVE($A$12:$D$15,C60,D60,B60,,,,,,$E$13:$E$15,$B$5,$B$6,$B$7,,,$A$28:$A$28,$C$24:$C$33,$B$4,$B$8,FALSE),1,61),"")</f>
      </c>
      <c r="DU60" s="5">
        <f>IFERROR(INDEX(CEA_SHOCK_SOLVE($A$12:$D$15,C60,D60,B60,,,,,,$E$13:$E$15,$B$5,$B$6,$B$7,,,$A$28:$A$28,$C$24:$C$33,$B$4,$B$8,FALSE),1,62),"")</f>
      </c>
      <c r="DV60" s="5">
        <f>IFERROR(INDEX(CEA_SHOCK_SOLVE($A$12:$D$15,C60,D60,B60,,,,,,$E$13:$E$15,$B$5,$B$6,$B$7,,,$A$28:$A$28,$C$24:$C$33,$B$4,$B$8,FALSE),1,63),"")</f>
      </c>
      <c r="DW60" s="5">
        <f>IFERROR(INDEX(CEA_SHOCK_SOLVE($A$12:$D$15,C60,D60,B60,,,,,,$E$13:$E$15,$B$5,$B$6,$B$7,,,$A$28:$A$28,$C$24:$C$33,$B$4,$B$8,FALSE),1,64),"")</f>
      </c>
      <c r="DX60" s="5">
        <f>IFERROR(INDEX(CEA_SHOCK_SOLVE($A$12:$D$15,C60,D60,B60,,,,,,$E$13:$E$15,$B$5,$B$6,$B$7,,,$A$28:$A$28,$C$24:$C$33,$B$4,$B$8,FALSE),1,65),"")</f>
      </c>
      <c r="DY60" s="5">
        <f>IFERROR(INDEX(CEA_SHOCK_SOLVE($A$12:$D$15,C60,D60,B60,,,,,,$E$13:$E$15,$B$5,$B$6,$B$7,,,$A$28:$A$28,$C$24:$C$33,$B$4,$B$8,FALSE),1,66),"")</f>
      </c>
    </row>
    <row r="61" spans="1:149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INDEX(CEA_SHOCK_SOLVE($A$12:$D$15,C61,D61,B61,,,,,,$E$13:$E$15,$B$5,$B$6,$B$7,,,$A$24:$A$50,$C$24:$C$33,$B$4,$B$8,FALSE),1,1)</f>
      </c>
      <c r="G61" s="5">
        <f>INDEX(CEA_SHOCK_SOLVE($A$12:$D$15,C61,D61,B61,,,,,,$E$13:$E$15,$B$5,$B$6,$B$7,,,$A$24:$A$50,$C$24:$C$33,$B$4,$B$8,FALSE),1,2)</f>
      </c>
      <c r="H61" s="5">
        <f>INDEX(CEA_SHOCK_SOLVE($A$12:$D$15,C61,D61,B61,,,,,,$E$13:$E$15,$B$5,$B$6,$B$7,,,$A$24:$A$50,$C$24:$C$33,$B$4,$B$8,FALSE),1,3)</f>
      </c>
      <c r="I61" s="5">
        <f>INDEX(CEA_SHOCK_SOLVE($A$12:$D$15,C61,D61,B61,,,,,,$E$13:$E$15,$B$5,$B$6,$B$7,,,$A$24:$A$50,$C$24:$C$33,$B$4,$B$8,FALSE),1,4)</f>
      </c>
      <c r="J61" s="5">
        <f>INDEX(CEA_SHOCK_SOLVE($A$12:$D$15,C61,D61,B61,,,,,,$E$13:$E$15,$B$5,$B$6,$B$7,,,$A$24:$A$50,$C$24:$C$33,$B$4,$B$8,FALSE),1,5)</f>
      </c>
      <c r="K61" s="5">
        <f>INDEX(CEA_SHOCK_SOLVE($A$12:$D$15,C61,D61,B61,,,,,,$E$13:$E$15,$B$5,$B$6,$B$7,,,$A$24:$A$50,$C$24:$C$33,$B$4,$B$8,FALSE),1,6)</f>
      </c>
      <c r="L61" s="5">
        <f>INDEX(CEA_SHOCK_SOLVE($A$12:$D$15,C61,D61,B61,,,,,,$E$13:$E$15,$B$5,$B$6,$B$7,,,$A$24:$A$50,$C$24:$C$33,$B$4,$B$8,FALSE),1,7)</f>
      </c>
      <c r="M61" s="5">
        <f>INDEX(CEA_SHOCK_SOLVE($A$12:$D$15,C61,D61,B61,,,,,,$E$13:$E$15,$B$5,$B$6,$B$7,,,$A$24:$A$50,$C$24:$C$33,$B$4,$B$8,FALSE),1,8)</f>
      </c>
      <c r="N61" s="5">
        <f>INDEX(CEA_SHOCK_SOLVE($A$12:$D$15,C61,D61,B61,,,,,,$E$13:$E$15,$B$5,$B$6,$B$7,,,$A$24:$A$50,$C$24:$C$33,$B$4,$B$8,FALSE),1,9)</f>
      </c>
      <c r="O61" s="5">
        <f>INDEX(CEA_SHOCK_SOLVE($A$12:$D$15,C61,D61,B61,,,,,,$E$13:$E$15,$B$5,$B$6,$B$7,,,$A$24:$A$50,$C$24:$C$33,$B$4,$B$8,FALSE),1,10)</f>
      </c>
      <c r="P61" s="5">
        <f>INDEX(CEA_SHOCK_SOLVE($A$12:$D$15,C61,D61,B61,,,,,,$E$13:$E$15,$B$5,$B$6,$B$7,,,$A$24:$A$50,$C$24:$C$33,$B$4,$B$8,FALSE),1,11)</f>
      </c>
      <c r="Q61" s="5">
        <f>INDEX(CEA_SHOCK_SOLVE($A$12:$D$15,C61,D61,B61,,,,,,$E$13:$E$15,$B$5,$B$6,$B$7,,,$A$24:$A$50,$C$24:$C$33,$B$4,$B$8,FALSE),1,12)</f>
      </c>
      <c r="R61" s="5">
        <f>INDEX(CEA_SHOCK_SOLVE($A$12:$D$15,C61,D61,B61,,,,,,$E$13:$E$15,$B$5,$B$6,$B$7,,,$A$24:$A$50,$C$24:$C$33,$B$4,$B$8,FALSE),1,13)</f>
      </c>
      <c r="S61" s="5">
        <f>INDEX(CEA_SHOCK_SOLVE($A$12:$D$15,C61,D61,B61,,,,,,$E$13:$E$15,$B$5,$B$6,$B$7,,,$A$24:$A$50,$C$24:$C$33,$B$4,$B$8,FALSE),1,14)</f>
      </c>
      <c r="T61" s="5">
        <f>INDEX(CEA_SHOCK_SOLVE($A$12:$D$15,C61,D61,B61,,,,,,$E$13:$E$15,$B$5,$B$6,$B$7,,,$A$24:$A$50,$C$24:$C$33,$B$4,$B$8,FALSE),1,15)</f>
      </c>
      <c r="U61" s="5">
        <f>INDEX(CEA_SHOCK_SOLVE($A$12:$D$15,C61,D61,B61,,,,,,$E$13:$E$15,$B$5,$B$6,$B$7,,,$A$24:$A$50,$C$24:$C$33,$B$4,$B$8,FALSE),1,16)</f>
      </c>
      <c r="V61" s="5">
        <f>INDEX(CEA_SHOCK_SOLVE($A$12:$D$15,C61,D61,B61,,,,,,$E$13:$E$15,$B$5,$B$6,$B$7,,,$A$24:$A$50,$C$24:$C$33,$B$4,$B$8,FALSE),1,17)</f>
      </c>
      <c r="W61" s="5">
        <f>INDEX(CEA_SHOCK_SOLVE($A$12:$D$15,C61,D61,B61,,,,,,$E$13:$E$15,$B$5,$B$6,$B$7,,,$A$24:$A$50,$C$24:$C$33,$B$4,$B$8,FALSE),1,18)</f>
      </c>
      <c r="X61" s="5">
        <f>INDEX(CEA_SHOCK_SOLVE($A$12:$D$15,C61,D61,B61,,,,,,$E$13:$E$15,$B$5,$B$6,$B$7,,,$A$24:$A$50,$C$24:$C$33,$B$4,$B$8,FALSE),1,19)</f>
      </c>
      <c r="Y61" s="5">
        <f>INDEX(CEA_SHOCK_SOLVE($A$12:$D$15,C61,D61,B61,,,,,,$E$13:$E$15,$B$5,$B$6,$B$7,,,$A$24:$A$50,$C$24:$C$33,$B$4,$B$8,FALSE),1,20)</f>
      </c>
      <c r="Z61" s="5">
        <f>INDEX(CEA_SHOCK_SOLVE($A$12:$D$15,C61,D61,B61,,,,,,$E$13:$E$15,$B$5,$B$6,$B$7,,,$A$24:$A$50,$C$24:$C$33,$B$4,$B$8,FALSE),1,21)</f>
      </c>
      <c r="AA61" s="5">
        <f>INDEX(CEA_SHOCK_SOLVE($A$12:$D$15,C61,D61,B61,,,,,,$E$13:$E$15,$B$5,$B$6,$B$7,,,$A$24:$A$50,$C$24:$C$33,$B$4,$B$8,FALSE),1,22)</f>
      </c>
      <c r="AB61" s="5">
        <f>INDEX(CEA_SHOCK_SOLVE($A$12:$D$15,C61,D61,B61,,,,,,$E$13:$E$15,$B$5,$B$6,$B$7,,,$A$24:$A$50,$C$24:$C$33,$B$4,$B$8,FALSE),1,23)</f>
      </c>
      <c r="AC61" s="5">
        <f>INDEX(CEA_SHOCK_SOLVE($A$12:$D$15,C61,D61,B61,,,,,,$E$13:$E$15,$B$5,$B$6,$B$7,,,$A$24:$A$50,$C$24:$C$33,$B$4,$B$8,FALSE),1,24)</f>
      </c>
      <c r="AD61" s="5">
        <f>INDEX(CEA_SHOCK_SOLVE($A$12:$D$15,C61,D61,B61,,,,,,$E$13:$E$15,$B$5,$B$6,$B$7,,,$A$24:$A$50,$C$24:$C$33,$B$4,$B$8,FALSE),1,25)</f>
      </c>
      <c r="AE61" s="5">
        <f>INDEX(CEA_SHOCK_SOLVE($A$12:$D$15,C61,D61,B61,,,,,,$E$13:$E$15,$B$5,$B$6,$B$7,,,$A$24:$A$50,$C$24:$C$33,$B$4,$B$8,FALSE),1,26)</f>
      </c>
      <c r="AF61" s="5">
        <f>INDEX(CEA_SHOCK_SOLVE($A$12:$D$15,C61,D61,B61,,,,,,$E$13:$E$15,$B$5,$B$6,$B$7,,,$A$24:$A$50,$C$24:$C$33,$B$4,$B$8,FALSE),1,27)</f>
      </c>
      <c r="AG61" s="5">
        <f>INDEX(CEA_SHOCK_SOLVE($A$12:$D$15,C61,D61,B61,,,,,,$E$13:$E$15,$B$5,$B$6,$B$7,,,$A$24:$A$50,$C$24:$C$33,$B$4,$B$8,FALSE),1,28)</f>
      </c>
      <c r="AH61" s="5">
        <f>INDEX(CEA_SHOCK_SOLVE($A$12:$D$15,C61,D61,B61,,,,,,$E$13:$E$15,$B$5,$B$6,$B$7,,,$A$24:$A$50,$C$24:$C$33,$B$4,$B$8,FALSE),1,29)</f>
      </c>
      <c r="AI61" s="5">
        <f>INDEX(CEA_SHOCK_SOLVE($A$12:$D$15,C61,D61,B61,,,,,,$E$13:$E$15,$B$5,$B$6,$B$7,,,$A$24:$A$50,$C$24:$C$33,$B$4,$B$8,FALSE),1,30)</f>
      </c>
      <c r="AJ61" s="5">
        <f>INDEX(CEA_SHOCK_SOLVE($A$12:$D$15,C61,D61,B61,,,,,,$E$13:$E$15,$B$5,$B$6,$B$7,,,$A$24:$A$50,$C$24:$C$33,$B$4,$B$8,FALSE),1,31)</f>
      </c>
      <c r="AK61" s="5">
        <f>INDEX(CEA_SHOCK_SOLVE($A$12:$D$15,C61,D61,B61,,,,,,$E$13:$E$15,$B$5,$B$6,$B$7,,,$A$24:$A$50,$C$24:$C$33,$B$4,$B$8,FALSE),1,32)</f>
      </c>
      <c r="AL61" s="5">
        <f>INDEX(CEA_SHOCK_SOLVE($A$12:$D$15,C61,D61,B61,,,,,,$E$13:$E$15,$B$5,$B$6,$B$7,,,$A$24:$A$50,$C$24:$C$33,$B$4,$B$8,FALSE),1,33)</f>
      </c>
      <c r="AM61" s="5">
        <f>INDEX(CEA_SHOCK_SOLVE($A$12:$D$15,C61,D61,B61,,,,,,$E$13:$E$15,$B$5,$B$6,$B$7,,,$A$24:$A$50,$C$24:$C$33,$B$4,$B$8,FALSE),1,34)</f>
      </c>
      <c r="AN61" s="5">
        <f>INDEX(CEA_SHOCK_SOLVE($A$12:$D$15,C61,D61,B61,,,,,,$E$13:$E$15,$B$5,$B$6,$B$7,,,$A$24:$A$50,$C$24:$C$33,$B$4,$B$8,FALSE),1,35)</f>
      </c>
      <c r="AO61" s="5">
        <f>INDEX(CEA_SHOCK_SOLVE($A$12:$D$15,C61,D61,B61,,,,,,$E$13:$E$15,$B$5,$B$6,$B$7,,,$A$24:$A$50,$C$24:$C$33,$B$4,$B$8,FALSE),1,36)</f>
      </c>
      <c r="AP61" s="5">
        <f>INDEX(CEA_SHOCK_SOLVE($A$12:$D$15,C61,D61,B61,,,,,,$E$13:$E$15,$B$5,$B$6,$B$7,,,$A$24:$A$50,$C$24:$C$33,$B$4,$B$8,FALSE),1,37)</f>
      </c>
      <c r="AQ61" s="5">
        <f>INDEX(CEA_SHOCK_SOLVE($A$12:$D$15,C61,D61,B61,,,,,,$E$13:$E$15,$B$5,$B$6,$B$7,,,$A$24:$A$50,$C$24:$C$33,$B$4,$B$8,FALSE),1,38)</f>
      </c>
      <c r="AR61" s="5">
        <f>INDEX(CEA_SHOCK_SOLVE($A$12:$D$15,C61,D61,B61,,,,,,$E$13:$E$15,$B$5,$B$6,$B$7,,,$A$24:$A$50,$C$24:$C$33,$B$4,$B$8,FALSE),1,39)</f>
      </c>
      <c r="AS61" s="5">
        <f>INDEX(CEA_SHOCK_SOLVE($A$12:$D$15,C61,D61,B61,,,,,,$E$13:$E$15,$B$5,$B$6,$B$7,,,$A$24:$A$50,$C$24:$C$33,$B$4,$B$8,FALSE),1,40)</f>
      </c>
      <c r="AT61" s="5">
        <f>INDEX(CEA_SHOCK_SOLVE($A$12:$D$15,C61,D61,B61,,,,,,$E$13:$E$15,$B$5,$B$6,$B$7,,,$A$24:$A$50,$C$24:$C$33,$B$4,$B$8,FALSE),1,41)</f>
      </c>
      <c r="AU61" s="5">
        <f>INDEX(CEA_SHOCK_SOLVE($A$12:$D$15,C61,D61,B61,,,,,,$E$13:$E$15,$B$5,$B$6,$B$7,,,$A$24:$A$50,$C$24:$C$33,$B$4,$B$8,FALSE),1,42)</f>
      </c>
      <c r="AV61" s="5">
        <f>INDEX(CEA_SHOCK_SOLVE($A$12:$D$15,C61,D61,B61,,,,,,$E$13:$E$15,$B$5,$B$6,$B$7,,,$A$24:$A$50,$C$24:$C$33,$B$4,$B$8,FALSE),1,43)</f>
      </c>
      <c r="AW61" s="5">
        <f>INDEX(CEA_SHOCK_SOLVE($A$12:$D$15,C61,D61,B61,,,,,,$E$13:$E$15,$B$5,$B$6,$B$7,,,$A$24:$A$50,$C$24:$C$33,$B$4,$B$8,FALSE),1,44)</f>
      </c>
      <c r="AX61" s="5">
        <f>INDEX(CEA_SHOCK_SOLVE($A$12:$D$15,C61,D61,B61,,,,,,$E$13:$E$15,$B$5,$B$6,$B$7,,,$A$24:$A$50,$C$24:$C$33,$B$4,$B$8,FALSE),1,45)</f>
      </c>
      <c r="AY61" s="5">
        <f>INDEX(CEA_SHOCK_SOLVE($A$12:$D$15,C61,D61,B61,,,,,,$E$13:$E$15,$B$5,$B$6,$B$7,,,$A$24:$A$50,$C$24:$C$33,$B$4,$B$8,FALSE),1,46)</f>
      </c>
      <c r="AZ61" s="5">
        <f>INDEX(CEA_SHOCK_SOLVE($A$12:$D$15,C61,D61,B61,,,,,,$E$13:$E$15,$B$5,$B$6,$B$7,,,$A$24:$A$50,$C$24:$C$33,$B$4,$B$8,FALSE),1,47)</f>
      </c>
      <c r="BA61" s="5">
        <f>INDEX(CEA_SHOCK_SOLVE($A$12:$D$15,C61,D61,B61,,,,,,$E$13:$E$15,$B$5,$B$6,$B$7,,,$A$24:$A$50,$C$24:$C$33,$B$4,$B$8,FALSE),1,48)</f>
      </c>
      <c r="BB61" s="5">
        <f>INDEX(CEA_SHOCK_SOLVE($A$12:$D$15,C61,D61,B61,,,,,,$E$13:$E$15,$B$5,$B$6,$B$7,,,$A$24:$A$50,$C$24:$C$33,$B$4,$B$8,FALSE),1,49)</f>
      </c>
      <c r="BC61" s="5">
        <f>INDEX(CEA_SHOCK_SOLVE($A$12:$D$15,C61,D61,B61,,,,,,$E$13:$E$15,$B$5,$B$6,$B$7,,,$A$24:$A$50,$C$24:$C$33,$B$4,$B$8,FALSE),1,50)</f>
      </c>
      <c r="BD61" s="5">
        <f>INDEX(CEA_SHOCK_SOLVE($A$12:$D$15,C61,D61,B61,,,,,,$E$13:$E$15,$B$5,$B$6,$B$7,,,$A$24:$A$50,$C$24:$C$33,$B$4,$B$8,FALSE),1,51)</f>
      </c>
      <c r="BE61" s="5">
        <f>INDEX(CEA_SHOCK_SOLVE($A$12:$D$15,C61,D61,B61,,,,,,$E$13:$E$15,$B$5,$B$6,$B$7,,,$A$24:$A$50,$C$24:$C$33,$B$4,$B$8,FALSE),1,52)</f>
      </c>
      <c r="BF61" s="5">
        <f>INDEX(CEA_SHOCK_SOLVE($A$12:$D$15,C61,D61,B61,,,,,,$E$13:$E$15,$B$5,$B$6,$B$7,,,$A$24:$A$50,$C$24:$C$33,$B$4,$B$8,FALSE),1,53)</f>
      </c>
      <c r="BG61" s="5">
        <f>INDEX(CEA_SHOCK_SOLVE($A$12:$D$15,C61,D61,B61,,,,,,$E$13:$E$15,$B$5,$B$6,$B$7,,,$A$24:$A$50,$C$24:$C$33,$B$4,$B$8,FALSE),1,54)</f>
      </c>
      <c r="BH61" s="5">
        <f>IFERROR(INDEX(CEA_SHOCK_SOLVE($A$12:$D$15,C61,D61,B61,,,,,,$E$13:$E$15,$B$5,$B$6,$B$7,,,$A$41:$A$50,,$B$4,$B$8,FALSE),1,4),"")</f>
      </c>
      <c r="BI61" s="5">
        <f>IFERROR(INDEX(CEA_SHOCK_SOLVE($A$12:$D$15,C61,D61,B61,,,,,,$E$13:$E$15,$B$5,$B$6,$B$7,,,$A$41:$A$50,,$B$4,$B$8,FALSE),1,5),"")</f>
      </c>
      <c r="BJ61" s="5">
        <f>IFERROR(INDEX(CEA_SHOCK_SOLVE($A$12:$D$15,C61,D61,B61,,,,,,$E$13:$E$15,$B$5,$B$6,$B$7,,,$A$41:$A$50,,$B$4,$B$8,FALSE),1,6),"")</f>
      </c>
      <c r="BK61" s="5">
        <f>IFERROR(INDEX(CEA_SHOCK_SOLVE($A$12:$D$15,C61,D61,B61,,,,,,$E$13:$E$15,$B$5,$B$6,$B$7,,,$A$41:$A$50,,$B$4,$B$8,FALSE),1,7),"")</f>
      </c>
      <c r="BL61" s="5">
        <f>IFERROR(INDEX(CEA_SHOCK_SOLVE($A$12:$D$15,C61,D61,B61,,,,,,$E$13:$E$15,$B$5,$B$6,$B$7,,,$A$41:$A$50,,$B$4,$B$8,FALSE),1,8),"")</f>
      </c>
      <c r="BM61" s="5">
        <f>IFERROR(INDEX(CEA_SHOCK_SOLVE($A$12:$D$15,C61,D61,B61,,,,,,$E$13:$E$15,$B$5,$B$6,$B$7,,,$A$41:$A$50,,$B$4,$B$8,FALSE),1,9),"")</f>
      </c>
      <c r="BN61" s="5">
        <f>IFERROR(INDEX(CEA_SHOCK_SOLVE($A$12:$D$15,C61,D61,B61,,,,,,$E$13:$E$15,$B$5,$B$6,$B$7,,,$A$41:$A$50,,$B$4,$B$8,FALSE),1,10),"")</f>
      </c>
      <c r="BO61" s="5">
        <f>IFERROR(INDEX(CEA_SHOCK_SOLVE($A$12:$D$15,C61,D61,B61,,,,,,$E$13:$E$15,$B$5,$B$6,$B$7,,,$A$41:$A$50,,$B$4,$B$8,FALSE),1,11),"")</f>
      </c>
      <c r="BP61" s="5">
        <f>IFERROR(INDEX(CEA_SHOCK_SOLVE($A$12:$D$15,C61,D61,B61,,,,,,$E$13:$E$15,$B$5,$B$6,$B$7,,,$A$41:$A$50,,$B$4,$B$8,FALSE),1,12),"")</f>
      </c>
      <c r="BQ61" s="5">
        <f>IFERROR(INDEX(CEA_SHOCK_SOLVE($A$12:$D$15,C61,D61,B61,,,,,,$E$13:$E$15,$B$5,$B$6,$B$7,,,$A$41:$A$50,,$B$4,$B$8,FALSE),1,13),"")</f>
      </c>
      <c r="BR61" s="5">
        <f>IFERROR(INDEX(CEA_SHOCK_SOLVE($A$12:$D$15,C61,D61,B61,,,,,,$E$13:$E$15,$B$5,$B$6,$B$7,,,$A$28:$A$28,$C$24:$C$33,$B$4,$B$8,FALSE),1,7),"")</f>
      </c>
      <c r="BS61" s="5">
        <f>IFERROR(INDEX(CEA_SHOCK_SOLVE($A$12:$D$15,C61,D61,B61,,,,,,$E$13:$E$15,$B$5,$B$6,$B$7,,,$A$28:$A$28,$C$24:$C$33,$B$4,$B$8,FALSE),1,8),"")</f>
      </c>
      <c r="BT61" s="5">
        <f>IFERROR(INDEX(CEA_SHOCK_SOLVE($A$12:$D$15,C61,D61,B61,,,,,,$E$13:$E$15,$B$5,$B$6,$B$7,,,$A$28:$A$28,$C$24:$C$33,$B$4,$B$8,FALSE),1,9),"")</f>
      </c>
      <c r="BU61" s="5">
        <f>IFERROR(INDEX(CEA_SHOCK_SOLVE($A$12:$D$15,C61,D61,B61,,,,,,$E$13:$E$15,$B$5,$B$6,$B$7,,,$A$28:$A$28,$C$24:$C$33,$B$4,$B$8,FALSE),1,10),"")</f>
      </c>
      <c r="BV61" s="5">
        <f>IFERROR(INDEX(CEA_SHOCK_SOLVE($A$12:$D$15,C61,D61,B61,,,,,,$E$13:$E$15,$B$5,$B$6,$B$7,,,$A$28:$A$28,$C$24:$C$33,$B$4,$B$8,FALSE),1,11),"")</f>
      </c>
      <c r="BW61" s="5">
        <f>IFERROR(INDEX(CEA_SHOCK_SOLVE($A$12:$D$15,C61,D61,B61,,,,,,$E$13:$E$15,$B$5,$B$6,$B$7,,,$A$28:$A$28,$C$24:$C$33,$B$4,$B$8,FALSE),1,12),"")</f>
      </c>
      <c r="BX61" s="5">
        <f>IFERROR(INDEX(CEA_SHOCK_SOLVE($A$12:$D$15,C61,D61,B61,,,,,,$E$13:$E$15,$B$5,$B$6,$B$7,,,$A$28:$A$28,$C$24:$C$33,$B$4,$B$8,FALSE),1,13),"")</f>
      </c>
      <c r="BY61" s="5">
        <f>IFERROR(INDEX(CEA_SHOCK_SOLVE($A$12:$D$15,C61,D61,B61,,,,,,$E$13:$E$15,$B$5,$B$6,$B$7,,,$A$28:$A$28,$C$24:$C$33,$B$4,$B$8,FALSE),1,14),"")</f>
      </c>
      <c r="BZ61" s="5">
        <f>IFERROR(INDEX(CEA_SHOCK_SOLVE($A$12:$D$15,C61,D61,B61,,,,,,$E$13:$E$15,$B$5,$B$6,$B$7,,,$A$28:$A$28,$C$24:$C$33,$B$4,$B$8,FALSE),1,15),"")</f>
      </c>
      <c r="CA61" s="5">
        <f>IFERROR(INDEX(CEA_SHOCK_SOLVE($A$12:$D$15,C61,D61,B61,,,,,,$E$13:$E$15,$B$5,$B$6,$B$7,,,$A$28:$A$28,$C$24:$C$33,$B$4,$B$8,FALSE),1,16),"")</f>
      </c>
      <c r="CB61" s="5">
        <f>IFERROR(INDEX(CEA_SHOCK_SOLVE($A$12:$D$15,C61,D61,B61,,,,,,$E$13:$E$15,$B$5,$B$6,$B$7,,,$A$28:$A$28,$C$24:$C$33,$B$4,$B$8,FALSE),1,17),"")</f>
      </c>
      <c r="CC61" s="5">
        <f>IFERROR(INDEX(CEA_SHOCK_SOLVE($A$12:$D$15,C61,D61,B61,,,,,,$E$13:$E$15,$B$5,$B$6,$B$7,,,$A$28:$A$28,$C$24:$C$33,$B$4,$B$8,FALSE),1,18),"")</f>
      </c>
      <c r="CD61" s="5">
        <f>IFERROR(INDEX(CEA_SHOCK_SOLVE($A$12:$D$15,C61,D61,B61,,,,,,$E$13:$E$15,$B$5,$B$6,$B$7,,,$A$28:$A$28,$C$24:$C$33,$B$4,$B$8,FALSE),1,19),"")</f>
      </c>
      <c r="CE61" s="5">
        <f>IFERROR(INDEX(CEA_SHOCK_SOLVE($A$12:$D$15,C61,D61,B61,,,,,,$E$13:$E$15,$B$5,$B$6,$B$7,,,$A$28:$A$28,$C$24:$C$33,$B$4,$B$8,FALSE),1,20),"")</f>
      </c>
      <c r="CF61" s="5">
        <f>IFERROR(INDEX(CEA_SHOCK_SOLVE($A$12:$D$15,C61,D61,B61,,,,,,$E$13:$E$15,$B$5,$B$6,$B$7,,,$A$28:$A$28,$C$24:$C$33,$B$4,$B$8,FALSE),1,21),"")</f>
      </c>
      <c r="CG61" s="5">
        <f>IFERROR(INDEX(CEA_SHOCK_SOLVE($A$12:$D$15,C61,D61,B61,,,,,,$E$13:$E$15,$B$5,$B$6,$B$7,,,$A$28:$A$28,$C$24:$C$33,$B$4,$B$8,FALSE),1,22),"")</f>
      </c>
      <c r="CH61" s="5">
        <f>IFERROR(INDEX(CEA_SHOCK_SOLVE($A$12:$D$15,C61,D61,B61,,,,,,$E$13:$E$15,$B$5,$B$6,$B$7,,,$A$28:$A$28,$C$24:$C$33,$B$4,$B$8,FALSE),1,23),"")</f>
      </c>
      <c r="CI61" s="5">
        <f>IFERROR(INDEX(CEA_SHOCK_SOLVE($A$12:$D$15,C61,D61,B61,,,,,,$E$13:$E$15,$B$5,$B$6,$B$7,,,$A$28:$A$28,$C$24:$C$33,$B$4,$B$8,FALSE),1,24),"")</f>
      </c>
      <c r="CJ61" s="5">
        <f>IFERROR(INDEX(CEA_SHOCK_SOLVE($A$12:$D$15,C61,D61,B61,,,,,,$E$13:$E$15,$B$5,$B$6,$B$7,,,$A$28:$A$28,$C$24:$C$33,$B$4,$B$8,FALSE),1,25),"")</f>
      </c>
      <c r="CK61" s="5">
        <f>IFERROR(INDEX(CEA_SHOCK_SOLVE($A$12:$D$15,C61,D61,B61,,,,,,$E$13:$E$15,$B$5,$B$6,$B$7,,,$A$28:$A$28,$C$24:$C$33,$B$4,$B$8,FALSE),1,26),"")</f>
      </c>
      <c r="CL61" s="5">
        <f>IFERROR(INDEX(CEA_SHOCK_SOLVE($A$12:$D$15,C61,D61,B61,,,,,,$E$13:$E$15,$B$5,$B$6,$B$7,,,$A$28:$A$28,$C$24:$C$33,$B$4,$B$8,FALSE),1,27),"")</f>
      </c>
      <c r="CM61" s="5">
        <f>IFERROR(INDEX(CEA_SHOCK_SOLVE($A$12:$D$15,C61,D61,B61,,,,,,$E$13:$E$15,$B$5,$B$6,$B$7,,,$A$28:$A$28,$C$24:$C$33,$B$4,$B$8,FALSE),1,28),"")</f>
      </c>
      <c r="CN61" s="5">
        <f>IFERROR(INDEX(CEA_SHOCK_SOLVE($A$12:$D$15,C61,D61,B61,,,,,,$E$13:$E$15,$B$5,$B$6,$B$7,,,$A$28:$A$28,$C$24:$C$33,$B$4,$B$8,FALSE),1,29),"")</f>
      </c>
      <c r="CO61" s="5">
        <f>IFERROR(INDEX(CEA_SHOCK_SOLVE($A$12:$D$15,C61,D61,B61,,,,,,$E$13:$E$15,$B$5,$B$6,$B$7,,,$A$28:$A$28,$C$24:$C$33,$B$4,$B$8,FALSE),1,30),"")</f>
      </c>
      <c r="CP61" s="5">
        <f>IFERROR(INDEX(CEA_SHOCK_SOLVE($A$12:$D$15,C61,D61,B61,,,,,,$E$13:$E$15,$B$5,$B$6,$B$7,,,$A$28:$A$28,$C$24:$C$33,$B$4,$B$8,FALSE),1,31),"")</f>
      </c>
      <c r="CQ61" s="5">
        <f>IFERROR(INDEX(CEA_SHOCK_SOLVE($A$12:$D$15,C61,D61,B61,,,,,,$E$13:$E$15,$B$5,$B$6,$B$7,,,$A$28:$A$28,$C$24:$C$33,$B$4,$B$8,FALSE),1,32),"")</f>
      </c>
      <c r="CR61" s="5">
        <f>IFERROR(INDEX(CEA_SHOCK_SOLVE($A$12:$D$15,C61,D61,B61,,,,,,$E$13:$E$15,$B$5,$B$6,$B$7,,,$A$28:$A$28,$C$24:$C$33,$B$4,$B$8,FALSE),1,33),"")</f>
      </c>
      <c r="CS61" s="5">
        <f>IFERROR(INDEX(CEA_SHOCK_SOLVE($A$12:$D$15,C61,D61,B61,,,,,,$E$13:$E$15,$B$5,$B$6,$B$7,,,$A$28:$A$28,$C$24:$C$33,$B$4,$B$8,FALSE),1,34),"")</f>
      </c>
      <c r="CT61" s="5">
        <f>IFERROR(INDEX(CEA_SHOCK_SOLVE($A$12:$D$15,C61,D61,B61,,,,,,$E$13:$E$15,$B$5,$B$6,$B$7,,,$A$28:$A$28,$C$24:$C$33,$B$4,$B$8,FALSE),1,35),"")</f>
      </c>
      <c r="CU61" s="5">
        <f>IFERROR(INDEX(CEA_SHOCK_SOLVE($A$12:$D$15,C61,D61,B61,,,,,,$E$13:$E$15,$B$5,$B$6,$B$7,,,$A$28:$A$28,$C$24:$C$33,$B$4,$B$8,FALSE),1,36),"")</f>
      </c>
      <c r="CV61" s="5">
        <f>IFERROR(INDEX(CEA_SHOCK_SOLVE($A$12:$D$15,C61,D61,B61,,,,,,$E$13:$E$15,$B$5,$B$6,$B$7,,,$A$28:$A$28,$C$24:$C$33,$B$4,$B$8,FALSE),1,37),"")</f>
      </c>
      <c r="CW61" s="5">
        <f>IFERROR(INDEX(CEA_SHOCK_SOLVE($A$12:$D$15,C61,D61,B61,,,,,,$E$13:$E$15,$B$5,$B$6,$B$7,,,$A$28:$A$28,$C$24:$C$33,$B$4,$B$8,FALSE),1,38),"")</f>
      </c>
      <c r="CX61" s="5">
        <f>IFERROR(INDEX(CEA_SHOCK_SOLVE($A$12:$D$15,C61,D61,B61,,,,,,$E$13:$E$15,$B$5,$B$6,$B$7,,,$A$28:$A$28,$C$24:$C$33,$B$4,$B$8,FALSE),1,39),"")</f>
      </c>
      <c r="CY61" s="5">
        <f>IFERROR(INDEX(CEA_SHOCK_SOLVE($A$12:$D$15,C61,D61,B61,,,,,,$E$13:$E$15,$B$5,$B$6,$B$7,,,$A$28:$A$28,$C$24:$C$33,$B$4,$B$8,FALSE),1,40),"")</f>
      </c>
      <c r="CZ61" s="5">
        <f>IFERROR(INDEX(CEA_SHOCK_SOLVE($A$12:$D$15,C61,D61,B61,,,,,,$E$13:$E$15,$B$5,$B$6,$B$7,,,$A$28:$A$28,$C$24:$C$33,$B$4,$B$8,FALSE),1,41),"")</f>
      </c>
      <c r="DA61" s="5">
        <f>IFERROR(INDEX(CEA_SHOCK_SOLVE($A$12:$D$15,C61,D61,B61,,,,,,$E$13:$E$15,$B$5,$B$6,$B$7,,,$A$28:$A$28,$C$24:$C$33,$B$4,$B$8,FALSE),1,42),"")</f>
      </c>
      <c r="DB61" s="5">
        <f>IFERROR(INDEX(CEA_SHOCK_SOLVE($A$12:$D$15,C61,D61,B61,,,,,,$E$13:$E$15,$B$5,$B$6,$B$7,,,$A$28:$A$28,$C$24:$C$33,$B$4,$B$8,FALSE),1,43),"")</f>
      </c>
      <c r="DC61" s="5">
        <f>IFERROR(INDEX(CEA_SHOCK_SOLVE($A$12:$D$15,C61,D61,B61,,,,,,$E$13:$E$15,$B$5,$B$6,$B$7,,,$A$28:$A$28,$C$24:$C$33,$B$4,$B$8,FALSE),1,44),"")</f>
      </c>
      <c r="DD61" s="5">
        <f>IFERROR(INDEX(CEA_SHOCK_SOLVE($A$12:$D$15,C61,D61,B61,,,,,,$E$13:$E$15,$B$5,$B$6,$B$7,,,$A$28:$A$28,$C$24:$C$33,$B$4,$B$8,FALSE),1,45),"")</f>
      </c>
      <c r="DE61" s="5">
        <f>IFERROR(INDEX(CEA_SHOCK_SOLVE($A$12:$D$15,C61,D61,B61,,,,,,$E$13:$E$15,$B$5,$B$6,$B$7,,,$A$28:$A$28,$C$24:$C$33,$B$4,$B$8,FALSE),1,46),"")</f>
      </c>
      <c r="DF61" s="5">
        <f>IFERROR(INDEX(CEA_SHOCK_SOLVE($A$12:$D$15,C61,D61,B61,,,,,,$E$13:$E$15,$B$5,$B$6,$B$7,,,$A$28:$A$28,$C$24:$C$33,$B$4,$B$8,FALSE),1,47),"")</f>
      </c>
      <c r="DG61" s="5">
        <f>IFERROR(INDEX(CEA_SHOCK_SOLVE($A$12:$D$15,C61,D61,B61,,,,,,$E$13:$E$15,$B$5,$B$6,$B$7,,,$A$28:$A$28,$C$24:$C$33,$B$4,$B$8,FALSE),1,48),"")</f>
      </c>
      <c r="DH61" s="5">
        <f>IFERROR(INDEX(CEA_SHOCK_SOLVE($A$12:$D$15,C61,D61,B61,,,,,,$E$13:$E$15,$B$5,$B$6,$B$7,,,$A$28:$A$28,$C$24:$C$33,$B$4,$B$8,FALSE),1,49),"")</f>
      </c>
      <c r="DI61" s="5">
        <f>IFERROR(INDEX(CEA_SHOCK_SOLVE($A$12:$D$15,C61,D61,B61,,,,,,$E$13:$E$15,$B$5,$B$6,$B$7,,,$A$28:$A$28,$C$24:$C$33,$B$4,$B$8,FALSE),1,50),"")</f>
      </c>
      <c r="DJ61" s="5">
        <f>IFERROR(INDEX(CEA_SHOCK_SOLVE($A$12:$D$15,C61,D61,B61,,,,,,$E$13:$E$15,$B$5,$B$6,$B$7,,,$A$28:$A$28,$C$24:$C$33,$B$4,$B$8,FALSE),1,51),"")</f>
      </c>
      <c r="DK61" s="5">
        <f>IFERROR(INDEX(CEA_SHOCK_SOLVE($A$12:$D$15,C61,D61,B61,,,,,,$E$13:$E$15,$B$5,$B$6,$B$7,,,$A$28:$A$28,$C$24:$C$33,$B$4,$B$8,FALSE),1,52),"")</f>
      </c>
      <c r="DL61" s="5">
        <f>IFERROR(INDEX(CEA_SHOCK_SOLVE($A$12:$D$15,C61,D61,B61,,,,,,$E$13:$E$15,$B$5,$B$6,$B$7,,,$A$28:$A$28,$C$24:$C$33,$B$4,$B$8,FALSE),1,53),"")</f>
      </c>
      <c r="DM61" s="5">
        <f>IFERROR(INDEX(CEA_SHOCK_SOLVE($A$12:$D$15,C61,D61,B61,,,,,,$E$13:$E$15,$B$5,$B$6,$B$7,,,$A$28:$A$28,$C$24:$C$33,$B$4,$B$8,FALSE),1,54),"")</f>
      </c>
      <c r="DN61" s="5">
        <f>IFERROR(INDEX(CEA_SHOCK_SOLVE($A$12:$D$15,C61,D61,B61,,,,,,$E$13:$E$15,$B$5,$B$6,$B$7,,,$A$28:$A$28,$C$24:$C$33,$B$4,$B$8,FALSE),1,55),"")</f>
      </c>
      <c r="DO61" s="5">
        <f>IFERROR(INDEX(CEA_SHOCK_SOLVE($A$12:$D$15,C61,D61,B61,,,,,,$E$13:$E$15,$B$5,$B$6,$B$7,,,$A$28:$A$28,$C$24:$C$33,$B$4,$B$8,FALSE),1,56),"")</f>
      </c>
      <c r="DP61" s="5">
        <f>IFERROR(INDEX(CEA_SHOCK_SOLVE($A$12:$D$15,C61,D61,B61,,,,,,$E$13:$E$15,$B$5,$B$6,$B$7,,,$A$28:$A$28,$C$24:$C$33,$B$4,$B$8,FALSE),1,57),"")</f>
      </c>
      <c r="DQ61" s="5">
        <f>IFERROR(INDEX(CEA_SHOCK_SOLVE($A$12:$D$15,C61,D61,B61,,,,,,$E$13:$E$15,$B$5,$B$6,$B$7,,,$A$28:$A$28,$C$24:$C$33,$B$4,$B$8,FALSE),1,58),"")</f>
      </c>
      <c r="DR61" s="5">
        <f>IFERROR(INDEX(CEA_SHOCK_SOLVE($A$12:$D$15,C61,D61,B61,,,,,,$E$13:$E$15,$B$5,$B$6,$B$7,,,$A$28:$A$28,$C$24:$C$33,$B$4,$B$8,FALSE),1,59),"")</f>
      </c>
      <c r="DS61" s="5">
        <f>IFERROR(INDEX(CEA_SHOCK_SOLVE($A$12:$D$15,C61,D61,B61,,,,,,$E$13:$E$15,$B$5,$B$6,$B$7,,,$A$28:$A$28,$C$24:$C$33,$B$4,$B$8,FALSE),1,60),"")</f>
      </c>
      <c r="DT61" s="5">
        <f>IFERROR(INDEX(CEA_SHOCK_SOLVE($A$12:$D$15,C61,D61,B61,,,,,,$E$13:$E$15,$B$5,$B$6,$B$7,,,$A$28:$A$28,$C$24:$C$33,$B$4,$B$8,FALSE),1,61),"")</f>
      </c>
      <c r="DU61" s="5">
        <f>IFERROR(INDEX(CEA_SHOCK_SOLVE($A$12:$D$15,C61,D61,B61,,,,,,$E$13:$E$15,$B$5,$B$6,$B$7,,,$A$28:$A$28,$C$24:$C$33,$B$4,$B$8,FALSE),1,62),"")</f>
      </c>
      <c r="DV61" s="5">
        <f>IFERROR(INDEX(CEA_SHOCK_SOLVE($A$12:$D$15,C61,D61,B61,,,,,,$E$13:$E$15,$B$5,$B$6,$B$7,,,$A$28:$A$28,$C$24:$C$33,$B$4,$B$8,FALSE),1,63),"")</f>
      </c>
      <c r="DW61" s="5">
        <f>IFERROR(INDEX(CEA_SHOCK_SOLVE($A$12:$D$15,C61,D61,B61,,,,,,$E$13:$E$15,$B$5,$B$6,$B$7,,,$A$28:$A$28,$C$24:$C$33,$B$4,$B$8,FALSE),1,64),"")</f>
      </c>
      <c r="DX61" s="5">
        <f>IFERROR(INDEX(CEA_SHOCK_SOLVE($A$12:$D$15,C61,D61,B61,,,,,,$E$13:$E$15,$B$5,$B$6,$B$7,,,$A$28:$A$28,$C$24:$C$33,$B$4,$B$8,FALSE),1,65),"")</f>
      </c>
      <c r="DY61" s="5">
        <f>IFERROR(INDEX(CEA_SHOCK_SOLVE($A$12:$D$15,C61,D61,B61,,,,,,$E$13:$E$15,$B$5,$B$6,$B$7,,,$A$28:$A$28,$C$24:$C$33,$B$4,$B$8,FALSE),1,66),"")</f>
      </c>
    </row>
    <row r="62" spans="1:149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INDEX(CEA_SHOCK_SOLVE($A$12:$D$15,C62,D62,B62,,,,,,$E$13:$E$15,$B$5,$B$6,$B$7,,,$A$24:$A$50,$C$24:$C$33,$B$4,$B$8,FALSE),1,1)</f>
      </c>
      <c r="G62" s="5">
        <f>INDEX(CEA_SHOCK_SOLVE($A$12:$D$15,C62,D62,B62,,,,,,$E$13:$E$15,$B$5,$B$6,$B$7,,,$A$24:$A$50,$C$24:$C$33,$B$4,$B$8,FALSE),1,2)</f>
      </c>
      <c r="H62" s="5">
        <f>INDEX(CEA_SHOCK_SOLVE($A$12:$D$15,C62,D62,B62,,,,,,$E$13:$E$15,$B$5,$B$6,$B$7,,,$A$24:$A$50,$C$24:$C$33,$B$4,$B$8,FALSE),1,3)</f>
      </c>
      <c r="I62" s="5">
        <f>INDEX(CEA_SHOCK_SOLVE($A$12:$D$15,C62,D62,B62,,,,,,$E$13:$E$15,$B$5,$B$6,$B$7,,,$A$24:$A$50,$C$24:$C$33,$B$4,$B$8,FALSE),1,4)</f>
      </c>
      <c r="J62" s="5">
        <f>INDEX(CEA_SHOCK_SOLVE($A$12:$D$15,C62,D62,B62,,,,,,$E$13:$E$15,$B$5,$B$6,$B$7,,,$A$24:$A$50,$C$24:$C$33,$B$4,$B$8,FALSE),1,5)</f>
      </c>
      <c r="K62" s="5">
        <f>INDEX(CEA_SHOCK_SOLVE($A$12:$D$15,C62,D62,B62,,,,,,$E$13:$E$15,$B$5,$B$6,$B$7,,,$A$24:$A$50,$C$24:$C$33,$B$4,$B$8,FALSE),1,6)</f>
      </c>
      <c r="L62" s="5">
        <f>INDEX(CEA_SHOCK_SOLVE($A$12:$D$15,C62,D62,B62,,,,,,$E$13:$E$15,$B$5,$B$6,$B$7,,,$A$24:$A$50,$C$24:$C$33,$B$4,$B$8,FALSE),1,7)</f>
      </c>
      <c r="M62" s="5">
        <f>INDEX(CEA_SHOCK_SOLVE($A$12:$D$15,C62,D62,B62,,,,,,$E$13:$E$15,$B$5,$B$6,$B$7,,,$A$24:$A$50,$C$24:$C$33,$B$4,$B$8,FALSE),1,8)</f>
      </c>
      <c r="N62" s="5">
        <f>INDEX(CEA_SHOCK_SOLVE($A$12:$D$15,C62,D62,B62,,,,,,$E$13:$E$15,$B$5,$B$6,$B$7,,,$A$24:$A$50,$C$24:$C$33,$B$4,$B$8,FALSE),1,9)</f>
      </c>
      <c r="O62" s="5">
        <f>INDEX(CEA_SHOCK_SOLVE($A$12:$D$15,C62,D62,B62,,,,,,$E$13:$E$15,$B$5,$B$6,$B$7,,,$A$24:$A$50,$C$24:$C$33,$B$4,$B$8,FALSE),1,10)</f>
      </c>
      <c r="P62" s="5">
        <f>INDEX(CEA_SHOCK_SOLVE($A$12:$D$15,C62,D62,B62,,,,,,$E$13:$E$15,$B$5,$B$6,$B$7,,,$A$24:$A$50,$C$24:$C$33,$B$4,$B$8,FALSE),1,11)</f>
      </c>
      <c r="Q62" s="5">
        <f>INDEX(CEA_SHOCK_SOLVE($A$12:$D$15,C62,D62,B62,,,,,,$E$13:$E$15,$B$5,$B$6,$B$7,,,$A$24:$A$50,$C$24:$C$33,$B$4,$B$8,FALSE),1,12)</f>
      </c>
      <c r="R62" s="5">
        <f>INDEX(CEA_SHOCK_SOLVE($A$12:$D$15,C62,D62,B62,,,,,,$E$13:$E$15,$B$5,$B$6,$B$7,,,$A$24:$A$50,$C$24:$C$33,$B$4,$B$8,FALSE),1,13)</f>
      </c>
      <c r="S62" s="5">
        <f>INDEX(CEA_SHOCK_SOLVE($A$12:$D$15,C62,D62,B62,,,,,,$E$13:$E$15,$B$5,$B$6,$B$7,,,$A$24:$A$50,$C$24:$C$33,$B$4,$B$8,FALSE),1,14)</f>
      </c>
      <c r="T62" s="5">
        <f>INDEX(CEA_SHOCK_SOLVE($A$12:$D$15,C62,D62,B62,,,,,,$E$13:$E$15,$B$5,$B$6,$B$7,,,$A$24:$A$50,$C$24:$C$33,$B$4,$B$8,FALSE),1,15)</f>
      </c>
      <c r="U62" s="5">
        <f>INDEX(CEA_SHOCK_SOLVE($A$12:$D$15,C62,D62,B62,,,,,,$E$13:$E$15,$B$5,$B$6,$B$7,,,$A$24:$A$50,$C$24:$C$33,$B$4,$B$8,FALSE),1,16)</f>
      </c>
      <c r="V62" s="5">
        <f>INDEX(CEA_SHOCK_SOLVE($A$12:$D$15,C62,D62,B62,,,,,,$E$13:$E$15,$B$5,$B$6,$B$7,,,$A$24:$A$50,$C$24:$C$33,$B$4,$B$8,FALSE),1,17)</f>
      </c>
      <c r="W62" s="5">
        <f>INDEX(CEA_SHOCK_SOLVE($A$12:$D$15,C62,D62,B62,,,,,,$E$13:$E$15,$B$5,$B$6,$B$7,,,$A$24:$A$50,$C$24:$C$33,$B$4,$B$8,FALSE),1,18)</f>
      </c>
      <c r="X62" s="5">
        <f>INDEX(CEA_SHOCK_SOLVE($A$12:$D$15,C62,D62,B62,,,,,,$E$13:$E$15,$B$5,$B$6,$B$7,,,$A$24:$A$50,$C$24:$C$33,$B$4,$B$8,FALSE),1,19)</f>
      </c>
      <c r="Y62" s="5">
        <f>INDEX(CEA_SHOCK_SOLVE($A$12:$D$15,C62,D62,B62,,,,,,$E$13:$E$15,$B$5,$B$6,$B$7,,,$A$24:$A$50,$C$24:$C$33,$B$4,$B$8,FALSE),1,20)</f>
      </c>
      <c r="Z62" s="5">
        <f>INDEX(CEA_SHOCK_SOLVE($A$12:$D$15,C62,D62,B62,,,,,,$E$13:$E$15,$B$5,$B$6,$B$7,,,$A$24:$A$50,$C$24:$C$33,$B$4,$B$8,FALSE),1,21)</f>
      </c>
      <c r="AA62" s="5">
        <f>INDEX(CEA_SHOCK_SOLVE($A$12:$D$15,C62,D62,B62,,,,,,$E$13:$E$15,$B$5,$B$6,$B$7,,,$A$24:$A$50,$C$24:$C$33,$B$4,$B$8,FALSE),1,22)</f>
      </c>
      <c r="AB62" s="5">
        <f>INDEX(CEA_SHOCK_SOLVE($A$12:$D$15,C62,D62,B62,,,,,,$E$13:$E$15,$B$5,$B$6,$B$7,,,$A$24:$A$50,$C$24:$C$33,$B$4,$B$8,FALSE),1,23)</f>
      </c>
      <c r="AC62" s="5">
        <f>INDEX(CEA_SHOCK_SOLVE($A$12:$D$15,C62,D62,B62,,,,,,$E$13:$E$15,$B$5,$B$6,$B$7,,,$A$24:$A$50,$C$24:$C$33,$B$4,$B$8,FALSE),1,24)</f>
      </c>
      <c r="AD62" s="5">
        <f>INDEX(CEA_SHOCK_SOLVE($A$12:$D$15,C62,D62,B62,,,,,,$E$13:$E$15,$B$5,$B$6,$B$7,,,$A$24:$A$50,$C$24:$C$33,$B$4,$B$8,FALSE),1,25)</f>
      </c>
      <c r="AE62" s="5">
        <f>INDEX(CEA_SHOCK_SOLVE($A$12:$D$15,C62,D62,B62,,,,,,$E$13:$E$15,$B$5,$B$6,$B$7,,,$A$24:$A$50,$C$24:$C$33,$B$4,$B$8,FALSE),1,26)</f>
      </c>
      <c r="AF62" s="5">
        <f>INDEX(CEA_SHOCK_SOLVE($A$12:$D$15,C62,D62,B62,,,,,,$E$13:$E$15,$B$5,$B$6,$B$7,,,$A$24:$A$50,$C$24:$C$33,$B$4,$B$8,FALSE),1,27)</f>
      </c>
      <c r="AG62" s="5">
        <f>INDEX(CEA_SHOCK_SOLVE($A$12:$D$15,C62,D62,B62,,,,,,$E$13:$E$15,$B$5,$B$6,$B$7,,,$A$24:$A$50,$C$24:$C$33,$B$4,$B$8,FALSE),1,28)</f>
      </c>
      <c r="AH62" s="5">
        <f>INDEX(CEA_SHOCK_SOLVE($A$12:$D$15,C62,D62,B62,,,,,,$E$13:$E$15,$B$5,$B$6,$B$7,,,$A$24:$A$50,$C$24:$C$33,$B$4,$B$8,FALSE),1,29)</f>
      </c>
      <c r="AI62" s="5">
        <f>INDEX(CEA_SHOCK_SOLVE($A$12:$D$15,C62,D62,B62,,,,,,$E$13:$E$15,$B$5,$B$6,$B$7,,,$A$24:$A$50,$C$24:$C$33,$B$4,$B$8,FALSE),1,30)</f>
      </c>
      <c r="AJ62" s="5">
        <f>INDEX(CEA_SHOCK_SOLVE($A$12:$D$15,C62,D62,B62,,,,,,$E$13:$E$15,$B$5,$B$6,$B$7,,,$A$24:$A$50,$C$24:$C$33,$B$4,$B$8,FALSE),1,31)</f>
      </c>
      <c r="AK62" s="5">
        <f>INDEX(CEA_SHOCK_SOLVE($A$12:$D$15,C62,D62,B62,,,,,,$E$13:$E$15,$B$5,$B$6,$B$7,,,$A$24:$A$50,$C$24:$C$33,$B$4,$B$8,FALSE),1,32)</f>
      </c>
      <c r="AL62" s="5">
        <f>INDEX(CEA_SHOCK_SOLVE($A$12:$D$15,C62,D62,B62,,,,,,$E$13:$E$15,$B$5,$B$6,$B$7,,,$A$24:$A$50,$C$24:$C$33,$B$4,$B$8,FALSE),1,33)</f>
      </c>
      <c r="AM62" s="5">
        <f>INDEX(CEA_SHOCK_SOLVE($A$12:$D$15,C62,D62,B62,,,,,,$E$13:$E$15,$B$5,$B$6,$B$7,,,$A$24:$A$50,$C$24:$C$33,$B$4,$B$8,FALSE),1,34)</f>
      </c>
      <c r="AN62" s="5">
        <f>INDEX(CEA_SHOCK_SOLVE($A$12:$D$15,C62,D62,B62,,,,,,$E$13:$E$15,$B$5,$B$6,$B$7,,,$A$24:$A$50,$C$24:$C$33,$B$4,$B$8,FALSE),1,35)</f>
      </c>
      <c r="AO62" s="5">
        <f>INDEX(CEA_SHOCK_SOLVE($A$12:$D$15,C62,D62,B62,,,,,,$E$13:$E$15,$B$5,$B$6,$B$7,,,$A$24:$A$50,$C$24:$C$33,$B$4,$B$8,FALSE),1,36)</f>
      </c>
      <c r="AP62" s="5">
        <f>INDEX(CEA_SHOCK_SOLVE($A$12:$D$15,C62,D62,B62,,,,,,$E$13:$E$15,$B$5,$B$6,$B$7,,,$A$24:$A$50,$C$24:$C$33,$B$4,$B$8,FALSE),1,37)</f>
      </c>
      <c r="AQ62" s="5">
        <f>INDEX(CEA_SHOCK_SOLVE($A$12:$D$15,C62,D62,B62,,,,,,$E$13:$E$15,$B$5,$B$6,$B$7,,,$A$24:$A$50,$C$24:$C$33,$B$4,$B$8,FALSE),1,38)</f>
      </c>
      <c r="AR62" s="5">
        <f>INDEX(CEA_SHOCK_SOLVE($A$12:$D$15,C62,D62,B62,,,,,,$E$13:$E$15,$B$5,$B$6,$B$7,,,$A$24:$A$50,$C$24:$C$33,$B$4,$B$8,FALSE),1,39)</f>
      </c>
      <c r="AS62" s="5">
        <f>INDEX(CEA_SHOCK_SOLVE($A$12:$D$15,C62,D62,B62,,,,,,$E$13:$E$15,$B$5,$B$6,$B$7,,,$A$24:$A$50,$C$24:$C$33,$B$4,$B$8,FALSE),1,40)</f>
      </c>
      <c r="AT62" s="5">
        <f>INDEX(CEA_SHOCK_SOLVE($A$12:$D$15,C62,D62,B62,,,,,,$E$13:$E$15,$B$5,$B$6,$B$7,,,$A$24:$A$50,$C$24:$C$33,$B$4,$B$8,FALSE),1,41)</f>
      </c>
      <c r="AU62" s="5">
        <f>INDEX(CEA_SHOCK_SOLVE($A$12:$D$15,C62,D62,B62,,,,,,$E$13:$E$15,$B$5,$B$6,$B$7,,,$A$24:$A$50,$C$24:$C$33,$B$4,$B$8,FALSE),1,42)</f>
      </c>
      <c r="AV62" s="5">
        <f>INDEX(CEA_SHOCK_SOLVE($A$12:$D$15,C62,D62,B62,,,,,,$E$13:$E$15,$B$5,$B$6,$B$7,,,$A$24:$A$50,$C$24:$C$33,$B$4,$B$8,FALSE),1,43)</f>
      </c>
      <c r="AW62" s="5">
        <f>INDEX(CEA_SHOCK_SOLVE($A$12:$D$15,C62,D62,B62,,,,,,$E$13:$E$15,$B$5,$B$6,$B$7,,,$A$24:$A$50,$C$24:$C$33,$B$4,$B$8,FALSE),1,44)</f>
      </c>
      <c r="AX62" s="5">
        <f>INDEX(CEA_SHOCK_SOLVE($A$12:$D$15,C62,D62,B62,,,,,,$E$13:$E$15,$B$5,$B$6,$B$7,,,$A$24:$A$50,$C$24:$C$33,$B$4,$B$8,FALSE),1,45)</f>
      </c>
      <c r="AY62" s="5">
        <f>INDEX(CEA_SHOCK_SOLVE($A$12:$D$15,C62,D62,B62,,,,,,$E$13:$E$15,$B$5,$B$6,$B$7,,,$A$24:$A$50,$C$24:$C$33,$B$4,$B$8,FALSE),1,46)</f>
      </c>
      <c r="AZ62" s="5">
        <f>INDEX(CEA_SHOCK_SOLVE($A$12:$D$15,C62,D62,B62,,,,,,$E$13:$E$15,$B$5,$B$6,$B$7,,,$A$24:$A$50,$C$24:$C$33,$B$4,$B$8,FALSE),1,47)</f>
      </c>
      <c r="BA62" s="5">
        <f>INDEX(CEA_SHOCK_SOLVE($A$12:$D$15,C62,D62,B62,,,,,,$E$13:$E$15,$B$5,$B$6,$B$7,,,$A$24:$A$50,$C$24:$C$33,$B$4,$B$8,FALSE),1,48)</f>
      </c>
      <c r="BB62" s="5">
        <f>INDEX(CEA_SHOCK_SOLVE($A$12:$D$15,C62,D62,B62,,,,,,$E$13:$E$15,$B$5,$B$6,$B$7,,,$A$24:$A$50,$C$24:$C$33,$B$4,$B$8,FALSE),1,49)</f>
      </c>
      <c r="BC62" s="5">
        <f>INDEX(CEA_SHOCK_SOLVE($A$12:$D$15,C62,D62,B62,,,,,,$E$13:$E$15,$B$5,$B$6,$B$7,,,$A$24:$A$50,$C$24:$C$33,$B$4,$B$8,FALSE),1,50)</f>
      </c>
      <c r="BD62" s="5">
        <f>INDEX(CEA_SHOCK_SOLVE($A$12:$D$15,C62,D62,B62,,,,,,$E$13:$E$15,$B$5,$B$6,$B$7,,,$A$24:$A$50,$C$24:$C$33,$B$4,$B$8,FALSE),1,51)</f>
      </c>
      <c r="BE62" s="5">
        <f>INDEX(CEA_SHOCK_SOLVE($A$12:$D$15,C62,D62,B62,,,,,,$E$13:$E$15,$B$5,$B$6,$B$7,,,$A$24:$A$50,$C$24:$C$33,$B$4,$B$8,FALSE),1,52)</f>
      </c>
      <c r="BF62" s="5">
        <f>INDEX(CEA_SHOCK_SOLVE($A$12:$D$15,C62,D62,B62,,,,,,$E$13:$E$15,$B$5,$B$6,$B$7,,,$A$24:$A$50,$C$24:$C$33,$B$4,$B$8,FALSE),1,53)</f>
      </c>
      <c r="BG62" s="5">
        <f>INDEX(CEA_SHOCK_SOLVE($A$12:$D$15,C62,D62,B62,,,,,,$E$13:$E$15,$B$5,$B$6,$B$7,,,$A$24:$A$50,$C$24:$C$33,$B$4,$B$8,FALSE),1,54)</f>
      </c>
      <c r="BH62" s="5">
        <f>IFERROR(INDEX(CEA_SHOCK_SOLVE($A$12:$D$15,C62,D62,B62,,,,,,$E$13:$E$15,$B$5,$B$6,$B$7,,,$A$41:$A$50,,$B$4,$B$8,FALSE),1,4),"")</f>
      </c>
      <c r="BI62" s="5">
        <f>IFERROR(INDEX(CEA_SHOCK_SOLVE($A$12:$D$15,C62,D62,B62,,,,,,$E$13:$E$15,$B$5,$B$6,$B$7,,,$A$41:$A$50,,$B$4,$B$8,FALSE),1,5),"")</f>
      </c>
      <c r="BJ62" s="5">
        <f>IFERROR(INDEX(CEA_SHOCK_SOLVE($A$12:$D$15,C62,D62,B62,,,,,,$E$13:$E$15,$B$5,$B$6,$B$7,,,$A$41:$A$50,,$B$4,$B$8,FALSE),1,6),"")</f>
      </c>
      <c r="BK62" s="5">
        <f>IFERROR(INDEX(CEA_SHOCK_SOLVE($A$12:$D$15,C62,D62,B62,,,,,,$E$13:$E$15,$B$5,$B$6,$B$7,,,$A$41:$A$50,,$B$4,$B$8,FALSE),1,7),"")</f>
      </c>
      <c r="BL62" s="5">
        <f>IFERROR(INDEX(CEA_SHOCK_SOLVE($A$12:$D$15,C62,D62,B62,,,,,,$E$13:$E$15,$B$5,$B$6,$B$7,,,$A$41:$A$50,,$B$4,$B$8,FALSE),1,8),"")</f>
      </c>
      <c r="BM62" s="5">
        <f>IFERROR(INDEX(CEA_SHOCK_SOLVE($A$12:$D$15,C62,D62,B62,,,,,,$E$13:$E$15,$B$5,$B$6,$B$7,,,$A$41:$A$50,,$B$4,$B$8,FALSE),1,9),"")</f>
      </c>
      <c r="BN62" s="5">
        <f>IFERROR(INDEX(CEA_SHOCK_SOLVE($A$12:$D$15,C62,D62,B62,,,,,,$E$13:$E$15,$B$5,$B$6,$B$7,,,$A$41:$A$50,,$B$4,$B$8,FALSE),1,10),"")</f>
      </c>
      <c r="BO62" s="5">
        <f>IFERROR(INDEX(CEA_SHOCK_SOLVE($A$12:$D$15,C62,D62,B62,,,,,,$E$13:$E$15,$B$5,$B$6,$B$7,,,$A$41:$A$50,,$B$4,$B$8,FALSE),1,11),"")</f>
      </c>
      <c r="BP62" s="5">
        <f>IFERROR(INDEX(CEA_SHOCK_SOLVE($A$12:$D$15,C62,D62,B62,,,,,,$E$13:$E$15,$B$5,$B$6,$B$7,,,$A$41:$A$50,,$B$4,$B$8,FALSE),1,12),"")</f>
      </c>
      <c r="BQ62" s="5">
        <f>IFERROR(INDEX(CEA_SHOCK_SOLVE($A$12:$D$15,C62,D62,B62,,,,,,$E$13:$E$15,$B$5,$B$6,$B$7,,,$A$41:$A$50,,$B$4,$B$8,FALSE),1,13),"")</f>
      </c>
      <c r="BR62" s="5">
        <f>IFERROR(INDEX(CEA_SHOCK_SOLVE($A$12:$D$15,C62,D62,B62,,,,,,$E$13:$E$15,$B$5,$B$6,$B$7,,,$A$28:$A$28,$C$24:$C$33,$B$4,$B$8,FALSE),1,7),"")</f>
      </c>
      <c r="BS62" s="5">
        <f>IFERROR(INDEX(CEA_SHOCK_SOLVE($A$12:$D$15,C62,D62,B62,,,,,,$E$13:$E$15,$B$5,$B$6,$B$7,,,$A$28:$A$28,$C$24:$C$33,$B$4,$B$8,FALSE),1,8),"")</f>
      </c>
      <c r="BT62" s="5">
        <f>IFERROR(INDEX(CEA_SHOCK_SOLVE($A$12:$D$15,C62,D62,B62,,,,,,$E$13:$E$15,$B$5,$B$6,$B$7,,,$A$28:$A$28,$C$24:$C$33,$B$4,$B$8,FALSE),1,9),"")</f>
      </c>
      <c r="BU62" s="5">
        <f>IFERROR(INDEX(CEA_SHOCK_SOLVE($A$12:$D$15,C62,D62,B62,,,,,,$E$13:$E$15,$B$5,$B$6,$B$7,,,$A$28:$A$28,$C$24:$C$33,$B$4,$B$8,FALSE),1,10),"")</f>
      </c>
      <c r="BV62" s="5">
        <f>IFERROR(INDEX(CEA_SHOCK_SOLVE($A$12:$D$15,C62,D62,B62,,,,,,$E$13:$E$15,$B$5,$B$6,$B$7,,,$A$28:$A$28,$C$24:$C$33,$B$4,$B$8,FALSE),1,11),"")</f>
      </c>
      <c r="BW62" s="5">
        <f>IFERROR(INDEX(CEA_SHOCK_SOLVE($A$12:$D$15,C62,D62,B62,,,,,,$E$13:$E$15,$B$5,$B$6,$B$7,,,$A$28:$A$28,$C$24:$C$33,$B$4,$B$8,FALSE),1,12),"")</f>
      </c>
      <c r="BX62" s="5">
        <f>IFERROR(INDEX(CEA_SHOCK_SOLVE($A$12:$D$15,C62,D62,B62,,,,,,$E$13:$E$15,$B$5,$B$6,$B$7,,,$A$28:$A$28,$C$24:$C$33,$B$4,$B$8,FALSE),1,13),"")</f>
      </c>
      <c r="BY62" s="5">
        <f>IFERROR(INDEX(CEA_SHOCK_SOLVE($A$12:$D$15,C62,D62,B62,,,,,,$E$13:$E$15,$B$5,$B$6,$B$7,,,$A$28:$A$28,$C$24:$C$33,$B$4,$B$8,FALSE),1,14),"")</f>
      </c>
      <c r="BZ62" s="5">
        <f>IFERROR(INDEX(CEA_SHOCK_SOLVE($A$12:$D$15,C62,D62,B62,,,,,,$E$13:$E$15,$B$5,$B$6,$B$7,,,$A$28:$A$28,$C$24:$C$33,$B$4,$B$8,FALSE),1,15),"")</f>
      </c>
      <c r="CA62" s="5">
        <f>IFERROR(INDEX(CEA_SHOCK_SOLVE($A$12:$D$15,C62,D62,B62,,,,,,$E$13:$E$15,$B$5,$B$6,$B$7,,,$A$28:$A$28,$C$24:$C$33,$B$4,$B$8,FALSE),1,16),"")</f>
      </c>
      <c r="CB62" s="5">
        <f>IFERROR(INDEX(CEA_SHOCK_SOLVE($A$12:$D$15,C62,D62,B62,,,,,,$E$13:$E$15,$B$5,$B$6,$B$7,,,$A$28:$A$28,$C$24:$C$33,$B$4,$B$8,FALSE),1,17),"")</f>
      </c>
      <c r="CC62" s="5">
        <f>IFERROR(INDEX(CEA_SHOCK_SOLVE($A$12:$D$15,C62,D62,B62,,,,,,$E$13:$E$15,$B$5,$B$6,$B$7,,,$A$28:$A$28,$C$24:$C$33,$B$4,$B$8,FALSE),1,18),"")</f>
      </c>
      <c r="CD62" s="5">
        <f>IFERROR(INDEX(CEA_SHOCK_SOLVE($A$12:$D$15,C62,D62,B62,,,,,,$E$13:$E$15,$B$5,$B$6,$B$7,,,$A$28:$A$28,$C$24:$C$33,$B$4,$B$8,FALSE),1,19),"")</f>
      </c>
      <c r="CE62" s="5">
        <f>IFERROR(INDEX(CEA_SHOCK_SOLVE($A$12:$D$15,C62,D62,B62,,,,,,$E$13:$E$15,$B$5,$B$6,$B$7,,,$A$28:$A$28,$C$24:$C$33,$B$4,$B$8,FALSE),1,20),"")</f>
      </c>
      <c r="CF62" s="5">
        <f>IFERROR(INDEX(CEA_SHOCK_SOLVE($A$12:$D$15,C62,D62,B62,,,,,,$E$13:$E$15,$B$5,$B$6,$B$7,,,$A$28:$A$28,$C$24:$C$33,$B$4,$B$8,FALSE),1,21),"")</f>
      </c>
      <c r="CG62" s="5">
        <f>IFERROR(INDEX(CEA_SHOCK_SOLVE($A$12:$D$15,C62,D62,B62,,,,,,$E$13:$E$15,$B$5,$B$6,$B$7,,,$A$28:$A$28,$C$24:$C$33,$B$4,$B$8,FALSE),1,22),"")</f>
      </c>
      <c r="CH62" s="5">
        <f>IFERROR(INDEX(CEA_SHOCK_SOLVE($A$12:$D$15,C62,D62,B62,,,,,,$E$13:$E$15,$B$5,$B$6,$B$7,,,$A$28:$A$28,$C$24:$C$33,$B$4,$B$8,FALSE),1,23),"")</f>
      </c>
      <c r="CI62" s="5">
        <f>IFERROR(INDEX(CEA_SHOCK_SOLVE($A$12:$D$15,C62,D62,B62,,,,,,$E$13:$E$15,$B$5,$B$6,$B$7,,,$A$28:$A$28,$C$24:$C$33,$B$4,$B$8,FALSE),1,24),"")</f>
      </c>
      <c r="CJ62" s="5">
        <f>IFERROR(INDEX(CEA_SHOCK_SOLVE($A$12:$D$15,C62,D62,B62,,,,,,$E$13:$E$15,$B$5,$B$6,$B$7,,,$A$28:$A$28,$C$24:$C$33,$B$4,$B$8,FALSE),1,25),"")</f>
      </c>
      <c r="CK62" s="5">
        <f>IFERROR(INDEX(CEA_SHOCK_SOLVE($A$12:$D$15,C62,D62,B62,,,,,,$E$13:$E$15,$B$5,$B$6,$B$7,,,$A$28:$A$28,$C$24:$C$33,$B$4,$B$8,FALSE),1,26),"")</f>
      </c>
      <c r="CL62" s="5">
        <f>IFERROR(INDEX(CEA_SHOCK_SOLVE($A$12:$D$15,C62,D62,B62,,,,,,$E$13:$E$15,$B$5,$B$6,$B$7,,,$A$28:$A$28,$C$24:$C$33,$B$4,$B$8,FALSE),1,27),"")</f>
      </c>
      <c r="CM62" s="5">
        <f>IFERROR(INDEX(CEA_SHOCK_SOLVE($A$12:$D$15,C62,D62,B62,,,,,,$E$13:$E$15,$B$5,$B$6,$B$7,,,$A$28:$A$28,$C$24:$C$33,$B$4,$B$8,FALSE),1,28),"")</f>
      </c>
      <c r="CN62" s="5">
        <f>IFERROR(INDEX(CEA_SHOCK_SOLVE($A$12:$D$15,C62,D62,B62,,,,,,$E$13:$E$15,$B$5,$B$6,$B$7,,,$A$28:$A$28,$C$24:$C$33,$B$4,$B$8,FALSE),1,29),"")</f>
      </c>
      <c r="CO62" s="5">
        <f>IFERROR(INDEX(CEA_SHOCK_SOLVE($A$12:$D$15,C62,D62,B62,,,,,,$E$13:$E$15,$B$5,$B$6,$B$7,,,$A$28:$A$28,$C$24:$C$33,$B$4,$B$8,FALSE),1,30),"")</f>
      </c>
      <c r="CP62" s="5">
        <f>IFERROR(INDEX(CEA_SHOCK_SOLVE($A$12:$D$15,C62,D62,B62,,,,,,$E$13:$E$15,$B$5,$B$6,$B$7,,,$A$28:$A$28,$C$24:$C$33,$B$4,$B$8,FALSE),1,31),"")</f>
      </c>
      <c r="CQ62" s="5">
        <f>IFERROR(INDEX(CEA_SHOCK_SOLVE($A$12:$D$15,C62,D62,B62,,,,,,$E$13:$E$15,$B$5,$B$6,$B$7,,,$A$28:$A$28,$C$24:$C$33,$B$4,$B$8,FALSE),1,32),"")</f>
      </c>
      <c r="CR62" s="5">
        <f>IFERROR(INDEX(CEA_SHOCK_SOLVE($A$12:$D$15,C62,D62,B62,,,,,,$E$13:$E$15,$B$5,$B$6,$B$7,,,$A$28:$A$28,$C$24:$C$33,$B$4,$B$8,FALSE),1,33),"")</f>
      </c>
      <c r="CS62" s="5">
        <f>IFERROR(INDEX(CEA_SHOCK_SOLVE($A$12:$D$15,C62,D62,B62,,,,,,$E$13:$E$15,$B$5,$B$6,$B$7,,,$A$28:$A$28,$C$24:$C$33,$B$4,$B$8,FALSE),1,34),"")</f>
      </c>
      <c r="CT62" s="5">
        <f>IFERROR(INDEX(CEA_SHOCK_SOLVE($A$12:$D$15,C62,D62,B62,,,,,,$E$13:$E$15,$B$5,$B$6,$B$7,,,$A$28:$A$28,$C$24:$C$33,$B$4,$B$8,FALSE),1,35),"")</f>
      </c>
      <c r="CU62" s="5">
        <f>IFERROR(INDEX(CEA_SHOCK_SOLVE($A$12:$D$15,C62,D62,B62,,,,,,$E$13:$E$15,$B$5,$B$6,$B$7,,,$A$28:$A$28,$C$24:$C$33,$B$4,$B$8,FALSE),1,36),"")</f>
      </c>
      <c r="CV62" s="5">
        <f>IFERROR(INDEX(CEA_SHOCK_SOLVE($A$12:$D$15,C62,D62,B62,,,,,,$E$13:$E$15,$B$5,$B$6,$B$7,,,$A$28:$A$28,$C$24:$C$33,$B$4,$B$8,FALSE),1,37),"")</f>
      </c>
      <c r="CW62" s="5">
        <f>IFERROR(INDEX(CEA_SHOCK_SOLVE($A$12:$D$15,C62,D62,B62,,,,,,$E$13:$E$15,$B$5,$B$6,$B$7,,,$A$28:$A$28,$C$24:$C$33,$B$4,$B$8,FALSE),1,38),"")</f>
      </c>
      <c r="CX62" s="5">
        <f>IFERROR(INDEX(CEA_SHOCK_SOLVE($A$12:$D$15,C62,D62,B62,,,,,,$E$13:$E$15,$B$5,$B$6,$B$7,,,$A$28:$A$28,$C$24:$C$33,$B$4,$B$8,FALSE),1,39),"")</f>
      </c>
      <c r="CY62" s="5">
        <f>IFERROR(INDEX(CEA_SHOCK_SOLVE($A$12:$D$15,C62,D62,B62,,,,,,$E$13:$E$15,$B$5,$B$6,$B$7,,,$A$28:$A$28,$C$24:$C$33,$B$4,$B$8,FALSE),1,40),"")</f>
      </c>
      <c r="CZ62" s="5">
        <f>IFERROR(INDEX(CEA_SHOCK_SOLVE($A$12:$D$15,C62,D62,B62,,,,,,$E$13:$E$15,$B$5,$B$6,$B$7,,,$A$28:$A$28,$C$24:$C$33,$B$4,$B$8,FALSE),1,41),"")</f>
      </c>
      <c r="DA62" s="5">
        <f>IFERROR(INDEX(CEA_SHOCK_SOLVE($A$12:$D$15,C62,D62,B62,,,,,,$E$13:$E$15,$B$5,$B$6,$B$7,,,$A$28:$A$28,$C$24:$C$33,$B$4,$B$8,FALSE),1,42),"")</f>
      </c>
      <c r="DB62" s="5">
        <f>IFERROR(INDEX(CEA_SHOCK_SOLVE($A$12:$D$15,C62,D62,B62,,,,,,$E$13:$E$15,$B$5,$B$6,$B$7,,,$A$28:$A$28,$C$24:$C$33,$B$4,$B$8,FALSE),1,43),"")</f>
      </c>
      <c r="DC62" s="5">
        <f>IFERROR(INDEX(CEA_SHOCK_SOLVE($A$12:$D$15,C62,D62,B62,,,,,,$E$13:$E$15,$B$5,$B$6,$B$7,,,$A$28:$A$28,$C$24:$C$33,$B$4,$B$8,FALSE),1,44),"")</f>
      </c>
      <c r="DD62" s="5">
        <f>IFERROR(INDEX(CEA_SHOCK_SOLVE($A$12:$D$15,C62,D62,B62,,,,,,$E$13:$E$15,$B$5,$B$6,$B$7,,,$A$28:$A$28,$C$24:$C$33,$B$4,$B$8,FALSE),1,45),"")</f>
      </c>
      <c r="DE62" s="5">
        <f>IFERROR(INDEX(CEA_SHOCK_SOLVE($A$12:$D$15,C62,D62,B62,,,,,,$E$13:$E$15,$B$5,$B$6,$B$7,,,$A$28:$A$28,$C$24:$C$33,$B$4,$B$8,FALSE),1,46),"")</f>
      </c>
      <c r="DF62" s="5">
        <f>IFERROR(INDEX(CEA_SHOCK_SOLVE($A$12:$D$15,C62,D62,B62,,,,,,$E$13:$E$15,$B$5,$B$6,$B$7,,,$A$28:$A$28,$C$24:$C$33,$B$4,$B$8,FALSE),1,47),"")</f>
      </c>
      <c r="DG62" s="5">
        <f>IFERROR(INDEX(CEA_SHOCK_SOLVE($A$12:$D$15,C62,D62,B62,,,,,,$E$13:$E$15,$B$5,$B$6,$B$7,,,$A$28:$A$28,$C$24:$C$33,$B$4,$B$8,FALSE),1,48),"")</f>
      </c>
      <c r="DH62" s="5">
        <f>IFERROR(INDEX(CEA_SHOCK_SOLVE($A$12:$D$15,C62,D62,B62,,,,,,$E$13:$E$15,$B$5,$B$6,$B$7,,,$A$28:$A$28,$C$24:$C$33,$B$4,$B$8,FALSE),1,49),"")</f>
      </c>
      <c r="DI62" s="5">
        <f>IFERROR(INDEX(CEA_SHOCK_SOLVE($A$12:$D$15,C62,D62,B62,,,,,,$E$13:$E$15,$B$5,$B$6,$B$7,,,$A$28:$A$28,$C$24:$C$33,$B$4,$B$8,FALSE),1,50),"")</f>
      </c>
      <c r="DJ62" s="5">
        <f>IFERROR(INDEX(CEA_SHOCK_SOLVE($A$12:$D$15,C62,D62,B62,,,,,,$E$13:$E$15,$B$5,$B$6,$B$7,,,$A$28:$A$28,$C$24:$C$33,$B$4,$B$8,FALSE),1,51),"")</f>
      </c>
      <c r="DK62" s="5">
        <f>IFERROR(INDEX(CEA_SHOCK_SOLVE($A$12:$D$15,C62,D62,B62,,,,,,$E$13:$E$15,$B$5,$B$6,$B$7,,,$A$28:$A$28,$C$24:$C$33,$B$4,$B$8,FALSE),1,52),"")</f>
      </c>
      <c r="DL62" s="5">
        <f>IFERROR(INDEX(CEA_SHOCK_SOLVE($A$12:$D$15,C62,D62,B62,,,,,,$E$13:$E$15,$B$5,$B$6,$B$7,,,$A$28:$A$28,$C$24:$C$33,$B$4,$B$8,FALSE),1,53),"")</f>
      </c>
      <c r="DM62" s="5">
        <f>IFERROR(INDEX(CEA_SHOCK_SOLVE($A$12:$D$15,C62,D62,B62,,,,,,$E$13:$E$15,$B$5,$B$6,$B$7,,,$A$28:$A$28,$C$24:$C$33,$B$4,$B$8,FALSE),1,54),"")</f>
      </c>
      <c r="DN62" s="5">
        <f>IFERROR(INDEX(CEA_SHOCK_SOLVE($A$12:$D$15,C62,D62,B62,,,,,,$E$13:$E$15,$B$5,$B$6,$B$7,,,$A$28:$A$28,$C$24:$C$33,$B$4,$B$8,FALSE),1,55),"")</f>
      </c>
      <c r="DO62" s="5">
        <f>IFERROR(INDEX(CEA_SHOCK_SOLVE($A$12:$D$15,C62,D62,B62,,,,,,$E$13:$E$15,$B$5,$B$6,$B$7,,,$A$28:$A$28,$C$24:$C$33,$B$4,$B$8,FALSE),1,56),"")</f>
      </c>
      <c r="DP62" s="5">
        <f>IFERROR(INDEX(CEA_SHOCK_SOLVE($A$12:$D$15,C62,D62,B62,,,,,,$E$13:$E$15,$B$5,$B$6,$B$7,,,$A$28:$A$28,$C$24:$C$33,$B$4,$B$8,FALSE),1,57),"")</f>
      </c>
      <c r="DQ62" s="5">
        <f>IFERROR(INDEX(CEA_SHOCK_SOLVE($A$12:$D$15,C62,D62,B62,,,,,,$E$13:$E$15,$B$5,$B$6,$B$7,,,$A$28:$A$28,$C$24:$C$33,$B$4,$B$8,FALSE),1,58),"")</f>
      </c>
      <c r="DR62" s="5">
        <f>IFERROR(INDEX(CEA_SHOCK_SOLVE($A$12:$D$15,C62,D62,B62,,,,,,$E$13:$E$15,$B$5,$B$6,$B$7,,,$A$28:$A$28,$C$24:$C$33,$B$4,$B$8,FALSE),1,59),"")</f>
      </c>
      <c r="DS62" s="5">
        <f>IFERROR(INDEX(CEA_SHOCK_SOLVE($A$12:$D$15,C62,D62,B62,,,,,,$E$13:$E$15,$B$5,$B$6,$B$7,,,$A$28:$A$28,$C$24:$C$33,$B$4,$B$8,FALSE),1,60),"")</f>
      </c>
      <c r="DT62" s="5">
        <f>IFERROR(INDEX(CEA_SHOCK_SOLVE($A$12:$D$15,C62,D62,B62,,,,,,$E$13:$E$15,$B$5,$B$6,$B$7,,,$A$28:$A$28,$C$24:$C$33,$B$4,$B$8,FALSE),1,61),"")</f>
      </c>
      <c r="DU62" s="5">
        <f>IFERROR(INDEX(CEA_SHOCK_SOLVE($A$12:$D$15,C62,D62,B62,,,,,,$E$13:$E$15,$B$5,$B$6,$B$7,,,$A$28:$A$28,$C$24:$C$33,$B$4,$B$8,FALSE),1,62),"")</f>
      </c>
      <c r="DV62" s="5">
        <f>IFERROR(INDEX(CEA_SHOCK_SOLVE($A$12:$D$15,C62,D62,B62,,,,,,$E$13:$E$15,$B$5,$B$6,$B$7,,,$A$28:$A$28,$C$24:$C$33,$B$4,$B$8,FALSE),1,63),"")</f>
      </c>
      <c r="DW62" s="5">
        <f>IFERROR(INDEX(CEA_SHOCK_SOLVE($A$12:$D$15,C62,D62,B62,,,,,,$E$13:$E$15,$B$5,$B$6,$B$7,,,$A$28:$A$28,$C$24:$C$33,$B$4,$B$8,FALSE),1,64),"")</f>
      </c>
      <c r="DX62" s="5">
        <f>IFERROR(INDEX(CEA_SHOCK_SOLVE($A$12:$D$15,C62,D62,B62,,,,,,$E$13:$E$15,$B$5,$B$6,$B$7,,,$A$28:$A$28,$C$24:$C$33,$B$4,$B$8,FALSE),1,65),"")</f>
      </c>
      <c r="DY62" s="5">
        <f>IFERROR(INDEX(CEA_SHOCK_SOLVE($A$12:$D$15,C62,D62,B62,,,,,,$E$13:$E$15,$B$5,$B$6,$B$7,,,$A$28:$A$28,$C$24:$C$33,$B$4,$B$8,FALSE),1,66),"")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F60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s="3"/>
      <c r="B7" s="4"/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s="3">
        <f>INDEX(CEA_DETONATION_SOLVE($A$10:$D$12,D57,E57,C57,,,,,$B$5,,,$A$20:$A$51,$C$20:$C$28,$B$4,$B$6,TRUE),1,1)</f>
      </c>
      <c r="G56" s="3">
        <f>INDEX(CEA_DETONATION_SOLVE($A$10:$D$12,D57,E57,C57,,,,,$B$5,,,$A$20:$A$51,$C$20:$C$28,$B$4,$B$6,TRUE),1,2)</f>
      </c>
      <c r="H56" s="3">
        <f>INDEX(CEA_DETONATION_SOLVE($A$10:$D$12,D57,E57,C57,,,,,$B$5,,,$A$20:$A$51,$C$20:$C$28,$B$4,$B$6,TRUE),1,3)</f>
      </c>
      <c r="I56" s="3">
        <f>INDEX(CEA_DETONATION_SOLVE($A$10:$D$12,D57,E57,C57,,,,,$B$5,,,$A$20:$A$51,$C$20:$C$28,$B$4,$B$6,TRUE),1,4)</f>
      </c>
      <c r="J56" s="3">
        <f>INDEX(CEA_DETONATION_SOLVE($A$10:$D$12,D57,E57,C57,,,,,$B$5,,,$A$20:$A$51,$C$20:$C$28,$B$4,$B$6,TRUE),1,5)</f>
      </c>
      <c r="K56" s="3">
        <f>INDEX(CEA_DETONATION_SOLVE($A$10:$D$12,D57,E57,C57,,,,,$B$5,,,$A$20:$A$51,$C$20:$C$28,$B$4,$B$6,TRUE),1,6)</f>
      </c>
      <c r="L56" s="3">
        <f>INDEX(CEA_DETONATION_SOLVE($A$10:$D$12,D57,E57,C57,,,,,$B$5,,,$A$20:$A$51,$C$20:$C$28,$B$4,$B$6,TRUE),1,7)</f>
      </c>
      <c r="M56" s="3">
        <f>INDEX(CEA_DETONATION_SOLVE($A$10:$D$12,D57,E57,C57,,,,,$B$5,,,$A$20:$A$51,$C$20:$C$28,$B$4,$B$6,TRUE),1,8)</f>
      </c>
      <c r="N56" s="3">
        <f>INDEX(CEA_DETONATION_SOLVE($A$10:$D$12,D57,E57,C57,,,,,$B$5,,,$A$20:$A$51,$C$20:$C$28,$B$4,$B$6,TRUE),1,9)</f>
      </c>
      <c r="O56" s="3">
        <f>INDEX(CEA_DETONATION_SOLVE($A$10:$D$12,D57,E57,C57,,,,,$B$5,,,$A$20:$A$51,$C$20:$C$28,$B$4,$B$6,TRUE),1,10)</f>
      </c>
      <c r="P56" s="3">
        <f>INDEX(CEA_DETONATION_SOLVE($A$10:$D$12,D57,E57,C57,,,,,$B$5,,,$A$20:$A$51,$C$20:$C$28,$B$4,$B$6,TRUE),1,11)</f>
      </c>
      <c r="Q56" s="3">
        <f>INDEX(CEA_DETONATION_SOLVE($A$10:$D$12,D57,E57,C57,,,,,$B$5,,,$A$20:$A$51,$C$20:$C$28,$B$4,$B$6,TRUE),1,12)</f>
      </c>
      <c r="R56" s="3">
        <f>INDEX(CEA_DETONATION_SOLVE($A$10:$D$12,D57,E57,C57,,,,,$B$5,,,$A$20:$A$51,$C$20:$C$28,$B$4,$B$6,TRUE),1,13)</f>
      </c>
      <c r="S56" s="3">
        <f>INDEX(CEA_DETONATION_SOLVE($A$10:$D$12,D57,E57,C57,,,,,$B$5,,,$A$20:$A$51,$C$20:$C$28,$B$4,$B$6,TRUE),1,14)</f>
      </c>
      <c r="T56" s="3">
        <f>INDEX(CEA_DETONATION_SOLVE($A$10:$D$12,D57,E57,C57,,,,,$B$5,,,$A$20:$A$51,$C$20:$C$28,$B$4,$B$6,TRUE),1,15)</f>
      </c>
      <c r="U56" s="3">
        <f>INDEX(CEA_DETONATION_SOLVE($A$10:$D$12,D57,E57,C57,,,,,$B$5,,,$A$20:$A$51,$C$20:$C$28,$B$4,$B$6,TRUE),1,16)</f>
      </c>
      <c r="V56" s="3">
        <f>INDEX(CEA_DETONATION_SOLVE($A$10:$D$12,D57,E57,C57,,,,,$B$5,,,$A$20:$A$51,$C$20:$C$28,$B$4,$B$6,TRUE),1,17)</f>
      </c>
      <c r="W56" s="3">
        <f>INDEX(CEA_DETONATION_SOLVE($A$10:$D$12,D57,E57,C57,,,,,$B$5,,,$A$20:$A$51,$C$20:$C$28,$B$4,$B$6,TRUE),1,18)</f>
      </c>
      <c r="X56" s="3">
        <f>INDEX(CEA_DETONATION_SOLVE($A$10:$D$12,D57,E57,C57,,,,,$B$5,,,$A$20:$A$51,$C$20:$C$28,$B$4,$B$6,TRUE),1,19)</f>
      </c>
      <c r="Y56" s="3">
        <f>INDEX(CEA_DETONATION_SOLVE($A$10:$D$12,D57,E57,C57,,,,,$B$5,,,$A$20:$A$51,$C$20:$C$28,$B$4,$B$6,TRUE),1,20)</f>
      </c>
      <c r="Z56" s="3">
        <f>INDEX(CEA_DETONATION_SOLVE($A$10:$D$12,D57,E57,C57,,,,,$B$5,,,$A$20:$A$51,$C$20:$C$28,$B$4,$B$6,TRUE),1,21)</f>
      </c>
      <c r="AA56" s="3">
        <f>INDEX(CEA_DETONATION_SOLVE($A$10:$D$12,D57,E57,C57,,,,,$B$5,,,$A$20:$A$51,$C$20:$C$28,$B$4,$B$6,TRUE),1,22)</f>
      </c>
      <c r="AB56" s="3">
        <f>INDEX(CEA_DETONATION_SOLVE($A$10:$D$12,D57,E57,C57,,,,,$B$5,,,$A$20:$A$51,$C$20:$C$28,$B$4,$B$6,TRUE),1,23)</f>
      </c>
      <c r="AC56" s="3">
        <f>INDEX(CEA_DETONATION_SOLVE($A$10:$D$12,D57,E57,C57,,,,,$B$5,,,$A$20:$A$51,$C$20:$C$28,$B$4,$B$6,TRUE),1,24)</f>
      </c>
      <c r="AD56" s="3">
        <f>INDEX(CEA_DETONATION_SOLVE($A$10:$D$12,D57,E57,C57,,,,,$B$5,,,$A$20:$A$51,$C$20:$C$28,$B$4,$B$6,TRUE),1,25)</f>
      </c>
      <c r="AE56" s="3">
        <f>INDEX(CEA_DETONATION_SOLVE($A$10:$D$12,D57,E57,C57,,,,,$B$5,,,$A$20:$A$51,$C$20:$C$28,$B$4,$B$6,TRUE),1,26)</f>
      </c>
      <c r="AF56" s="3">
        <f>INDEX(CEA_DETONATION_SOLVE($A$10:$D$12,D57,E57,C57,,,,,$B$5,,,$A$20:$A$51,$C$20:$C$28,$B$4,$B$6,TRUE),1,27)</f>
      </c>
      <c r="AG56" s="3">
        <f>INDEX(CEA_DETONATION_SOLVE($A$10:$D$12,D57,E57,C57,,,,,$B$5,,,$A$20:$A$51,$C$20:$C$28,$B$4,$B$6,TRUE),1,28)</f>
      </c>
      <c r="AH56" s="3">
        <f>INDEX(CEA_DETONATION_SOLVE($A$10:$D$12,D57,E57,C57,,,,,$B$5,,,$A$20:$A$51,$C$20:$C$28,$B$4,$B$6,TRUE),1,29)</f>
      </c>
      <c r="AI56" s="3">
        <f>INDEX(CEA_DETONATION_SOLVE($A$10:$D$12,D57,E57,C57,,,,,$B$5,,,$A$20:$A$51,$C$20:$C$28,$B$4,$B$6,TRUE),1,30)</f>
      </c>
      <c r="AJ56" s="3">
        <f>INDEX(CEA_DETONATION_SOLVE($A$10:$D$12,D57,E57,C57,,,,,$B$5,,,$A$20:$A$51,$C$20:$C$28,$B$4,$B$6,TRUE),1,31)</f>
      </c>
      <c r="AK56" s="3">
        <f>INDEX(CEA_DETONATION_SOLVE($A$10:$D$12,D57,E57,C57,,,,,$B$5,,,$A$20:$A$51,$C$20:$C$28,$B$4,$B$6,TRUE),1,32)</f>
      </c>
      <c r="AL56" s="3">
        <f>INDEX(CEA_DETONATION_SOLVE($A$10:$D$12,D57,E57,C57,,,,,$B$5,,,$A$20:$A$51,$C$20:$C$28,$B$4,$B$6,TRUE),1,33)</f>
      </c>
      <c r="AM56" s="3">
        <f>INDEX(CEA_DETONATION_SOLVE($A$10:$D$12,D57,E57,C57,,,,,$B$5,,,$A$20:$A$51,$C$20:$C$28,$B$4,$B$6,TRUE),1,34)</f>
      </c>
      <c r="AN56" s="3">
        <f>INDEX(CEA_DETONATION_SOLVE($A$10:$D$12,D57,E57,C57,,,,,$B$5,,,$A$20:$A$51,$C$20:$C$28,$B$4,$B$6,TRUE),1,35)</f>
      </c>
      <c r="AO56" s="3">
        <f>INDEX(CEA_DETONATION_SOLVE($A$10:$D$12,D57,E57,C57,,,,,$B$5,,,$A$20:$A$51,$C$20:$C$28,$B$4,$B$6,TRUE),1,36)</f>
      </c>
      <c r="AP56" s="3">
        <f>INDEX(CEA_DETONATION_SOLVE($A$10:$D$12,D57,E57,C57,,,,,$B$5,,,$A$20:$A$51,$C$20:$C$28,$B$4,$B$6,TRUE),1,37)</f>
      </c>
      <c r="AQ56" s="3">
        <f>INDEX(CEA_DETONATION_SOLVE($A$10:$D$12,D57,E57,C57,,,,,$B$5,,,$A$20:$A$51,$C$20:$C$28,$B$4,$B$6,TRUE),1,38)</f>
      </c>
      <c r="AR56" s="3">
        <f>INDEX(CEA_DETONATION_SOLVE($A$10:$D$12,D57,E57,C57,,,,,$B$5,,,$A$20:$A$51,$C$20:$C$28,$B$4,$B$6,TRUE),1,39)</f>
      </c>
      <c r="AS56" s="3">
        <f>INDEX(CEA_DETONATION_SOLVE($A$10:$D$12,D57,E57,C57,,,,,$B$5,,,$A$20:$A$51,$C$20:$C$28,$B$4,$B$6,TRUE),1,40)</f>
      </c>
      <c r="AT56" s="3">
        <f>INDEX(CEA_DETONATION_SOLVE($A$10:$D$12,D57,E57,C57,,,,,$B$5,,,$A$20:$A$51,$C$20:$C$28,$B$4,$B$6,TRUE),1,41)</f>
      </c>
      <c r="AU56" s="3">
        <f>INDEX(CEA_DETONATION_SOLVE($A$10:$D$12,D57,E57,C57,,,,,$B$5,,,$A$20:$A$51,$C$20:$C$28,$B$4,$B$6,TRUE),1,42)</f>
      </c>
      <c r="AV56" s="3">
        <f>INDEX(CEA_DETONATION_SOLVE($A$10:$D$12,D57,E57,C57,,,,,$B$5,,,$A$20:$A$51,$C$20:$C$28,$B$4,$B$6,TRUE),1,43)</f>
      </c>
      <c r="AW56" s="3">
        <f>INDEX(CEA_DETONATION_SOLVE($A$10:$D$12,D57,E57,C57,,,,,$B$5,,,$A$20:$A$51,$C$20:$C$28,$B$4,$B$6,TRUE),1,44)</f>
      </c>
      <c r="AX56" s="3">
        <f>INDEX(CEA_DETONATION_SOLVE($A$10:$D$12,D57,E57,C57,,,,,$B$5,,,$A$20:$A$51,$C$20:$C$28,$B$4,$B$6,TRUE),1,45)</f>
      </c>
      <c r="AY56" s="3">
        <f>INDEX(CEA_DETONATION_SOLVE($A$10:$D$12,D57,E57,C57,,,,,$B$5,,,$A$20:$A$51,$C$20:$C$28,$B$4,$B$6,TRUE),1,46)</f>
      </c>
      <c r="AZ56" s="3">
        <f>INDEX(CEA_DETONATION_SOLVE($A$10:$D$12,D57,E57,C57,,,,,$B$5,,,$A$20:$A$51,$C$20:$C$28,$B$4,$B$6,TRUE),1,47)</f>
      </c>
      <c r="BA56" s="3">
        <f>INDEX(CEA_DETONATION_SOLVE($A$10:$D$12,D57,E57,C57,,,,,$B$5,,,$A$20:$A$51,$C$20:$C$28,$B$4,$B$6,TRUE),1,48)</f>
      </c>
      <c r="BB56" s="3">
        <f>INDEX(CEA_DETONATION_SOLVE($A$10:$D$12,D57,E57,C57,,,,,$B$5,,,$A$20:$A$51,$C$20:$C$28,$B$4,$B$6,TRUE),1,49)</f>
      </c>
      <c r="BC56" s="3">
        <f>INDEX(CEA_DETONATION_SOLVE($A$10:$D$12,D57,E57,C57,,,,,$B$5,,,$A$20:$A$51,$C$20:$C$28,$B$4,$B$6,TRUE),1,50)</f>
      </c>
      <c r="BD56" s="3">
        <f>INDEX(CEA_DETONATION_SOLVE($A$10:$D$12,D57,E57,C57,,,,,$B$5,,,$A$20:$A$51,$C$20:$C$28,$B$4,$B$6,TRUE),1,51)</f>
      </c>
      <c r="BE56" s="3">
        <f>INDEX(CEA_DETONATION_SOLVE($A$10:$D$12,D57,E57,C57,,,,,$B$5,,,$A$20:$A$51,$C$20:$C$28,$B$4,$B$6,TRUE),1,52)</f>
      </c>
      <c r="BF56" s="3">
        <f>INDEX(CEA_DETONATION_SOLVE($A$10:$D$12,D57,E57,C57,,,,,$B$5,,,$A$20:$A$51,$C$20:$C$28,$B$4,$B$6,TRUE),1,53)</f>
      </c>
    </row>
    <row r="57" spans="1:58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INDEX(CEA_DETONATION_SOLVE($A$10:$D$12,D57,E57,C57,,,,,$B$5,,,$A$20:$A$51,$C$20:$C$28,$B$4,$B$6,FALSE),1,1)</f>
      </c>
      <c r="G57" s="5">
        <f>INDEX(CEA_DETONATION_SOLVE($A$10:$D$12,D57,E57,C57,,,,,$B$5,,,$A$20:$A$51,$C$20:$C$28,$B$4,$B$6,FALSE),1,2)</f>
      </c>
      <c r="H57" s="5">
        <f>INDEX(CEA_DETONATION_SOLVE($A$10:$D$12,D57,E57,C57,,,,,$B$5,,,$A$20:$A$51,$C$20:$C$28,$B$4,$B$6,FALSE),1,3)</f>
      </c>
      <c r="I57" s="5">
        <f>INDEX(CEA_DETONATION_SOLVE($A$10:$D$12,D57,E57,C57,,,,,$B$5,,,$A$20:$A$51,$C$20:$C$28,$B$4,$B$6,FALSE),1,4)</f>
      </c>
      <c r="J57" s="5">
        <f>INDEX(CEA_DETONATION_SOLVE($A$10:$D$12,D57,E57,C57,,,,,$B$5,,,$A$20:$A$51,$C$20:$C$28,$B$4,$B$6,FALSE),1,5)</f>
      </c>
      <c r="K57" s="5">
        <f>INDEX(CEA_DETONATION_SOLVE($A$10:$D$12,D57,E57,C57,,,,,$B$5,,,$A$20:$A$51,$C$20:$C$28,$B$4,$B$6,FALSE),1,6)</f>
      </c>
      <c r="L57" s="5">
        <f>INDEX(CEA_DETONATION_SOLVE($A$10:$D$12,D57,E57,C57,,,,,$B$5,,,$A$20:$A$51,$C$20:$C$28,$B$4,$B$6,FALSE),1,7)</f>
      </c>
      <c r="M57" s="5">
        <f>INDEX(CEA_DETONATION_SOLVE($A$10:$D$12,D57,E57,C57,,,,,$B$5,,,$A$20:$A$51,$C$20:$C$28,$B$4,$B$6,FALSE),1,8)</f>
      </c>
      <c r="N57" s="5">
        <f>INDEX(CEA_DETONATION_SOLVE($A$10:$D$12,D57,E57,C57,,,,,$B$5,,,$A$20:$A$51,$C$20:$C$28,$B$4,$B$6,FALSE),1,9)</f>
      </c>
      <c r="O57" s="5">
        <f>INDEX(CEA_DETONATION_SOLVE($A$10:$D$12,D57,E57,C57,,,,,$B$5,,,$A$20:$A$51,$C$20:$C$28,$B$4,$B$6,FALSE),1,10)</f>
      </c>
      <c r="P57" s="5">
        <f>INDEX(CEA_DETONATION_SOLVE($A$10:$D$12,D57,E57,C57,,,,,$B$5,,,$A$20:$A$51,$C$20:$C$28,$B$4,$B$6,FALSE),1,11)</f>
      </c>
      <c r="Q57" s="5">
        <f>INDEX(CEA_DETONATION_SOLVE($A$10:$D$12,D57,E57,C57,,,,,$B$5,,,$A$20:$A$51,$C$20:$C$28,$B$4,$B$6,FALSE),1,12)</f>
      </c>
      <c r="R57" s="5">
        <f>INDEX(CEA_DETONATION_SOLVE($A$10:$D$12,D57,E57,C57,,,,,$B$5,,,$A$20:$A$51,$C$20:$C$28,$B$4,$B$6,FALSE),1,13)</f>
      </c>
      <c r="S57" s="5">
        <f>INDEX(CEA_DETONATION_SOLVE($A$10:$D$12,D57,E57,C57,,,,,$B$5,,,$A$20:$A$51,$C$20:$C$28,$B$4,$B$6,FALSE),1,14)</f>
      </c>
      <c r="T57" s="5">
        <f>INDEX(CEA_DETONATION_SOLVE($A$10:$D$12,D57,E57,C57,,,,,$B$5,,,$A$20:$A$51,$C$20:$C$28,$B$4,$B$6,FALSE),1,15)</f>
      </c>
      <c r="U57" s="5">
        <f>INDEX(CEA_DETONATION_SOLVE($A$10:$D$12,D57,E57,C57,,,,,$B$5,,,$A$20:$A$51,$C$20:$C$28,$B$4,$B$6,FALSE),1,16)</f>
      </c>
      <c r="V57" s="5">
        <f>INDEX(CEA_DETONATION_SOLVE($A$10:$D$12,D57,E57,C57,,,,,$B$5,,,$A$20:$A$51,$C$20:$C$28,$B$4,$B$6,FALSE),1,17)</f>
      </c>
      <c r="W57" s="5">
        <f>INDEX(CEA_DETONATION_SOLVE($A$10:$D$12,D57,E57,C57,,,,,$B$5,,,$A$20:$A$51,$C$20:$C$28,$B$4,$B$6,FALSE),1,18)</f>
      </c>
      <c r="X57" s="5">
        <f>INDEX(CEA_DETONATION_SOLVE($A$10:$D$12,D57,E57,C57,,,,,$B$5,,,$A$20:$A$51,$C$20:$C$28,$B$4,$B$6,FALSE),1,19)</f>
      </c>
      <c r="Y57" s="5">
        <f>INDEX(CEA_DETONATION_SOLVE($A$10:$D$12,D57,E57,C57,,,,,$B$5,,,$A$20:$A$51,$C$20:$C$28,$B$4,$B$6,FALSE),1,20)</f>
      </c>
      <c r="Z57" s="5">
        <f>INDEX(CEA_DETONATION_SOLVE($A$10:$D$12,D57,E57,C57,,,,,$B$5,,,$A$20:$A$51,$C$20:$C$28,$B$4,$B$6,FALSE),1,21)</f>
      </c>
      <c r="AA57" s="5">
        <f>INDEX(CEA_DETONATION_SOLVE($A$10:$D$12,D57,E57,C57,,,,,$B$5,,,$A$20:$A$51,$C$20:$C$28,$B$4,$B$6,FALSE),1,22)</f>
      </c>
      <c r="AB57" s="5">
        <f>INDEX(CEA_DETONATION_SOLVE($A$10:$D$12,D57,E57,C57,,,,,$B$5,,,$A$20:$A$51,$C$20:$C$28,$B$4,$B$6,FALSE),1,23)</f>
      </c>
      <c r="AC57" s="5">
        <f>INDEX(CEA_DETONATION_SOLVE($A$10:$D$12,D57,E57,C57,,,,,$B$5,,,$A$20:$A$51,$C$20:$C$28,$B$4,$B$6,FALSE),1,24)</f>
      </c>
      <c r="AD57" s="5">
        <f>INDEX(CEA_DETONATION_SOLVE($A$10:$D$12,D57,E57,C57,,,,,$B$5,,,$A$20:$A$51,$C$20:$C$28,$B$4,$B$6,FALSE),1,25)</f>
      </c>
      <c r="AE57" s="5">
        <f>INDEX(CEA_DETONATION_SOLVE($A$10:$D$12,D57,E57,C57,,,,,$B$5,,,$A$20:$A$51,$C$20:$C$28,$B$4,$B$6,FALSE),1,26)</f>
      </c>
      <c r="AF57" s="5">
        <f>INDEX(CEA_DETONATION_SOLVE($A$10:$D$12,D57,E57,C57,,,,,$B$5,,,$A$20:$A$51,$C$20:$C$28,$B$4,$B$6,FALSE),1,27)</f>
      </c>
      <c r="AG57" s="5">
        <f>INDEX(CEA_DETONATION_SOLVE($A$10:$D$12,D57,E57,C57,,,,,$B$5,,,$A$20:$A$51,$C$20:$C$28,$B$4,$B$6,FALSE),1,28)</f>
      </c>
      <c r="AH57" s="5">
        <f>INDEX(CEA_DETONATION_SOLVE($A$10:$D$12,D57,E57,C57,,,,,$B$5,,,$A$20:$A$51,$C$20:$C$28,$B$4,$B$6,FALSE),1,29)</f>
      </c>
      <c r="AI57" s="5">
        <f>INDEX(CEA_DETONATION_SOLVE($A$10:$D$12,D57,E57,C57,,,,,$B$5,,,$A$20:$A$51,$C$20:$C$28,$B$4,$B$6,FALSE),1,30)</f>
      </c>
      <c r="AJ57" s="5">
        <f>INDEX(CEA_DETONATION_SOLVE($A$10:$D$12,D57,E57,C57,,,,,$B$5,,,$A$20:$A$51,$C$20:$C$28,$B$4,$B$6,FALSE),1,31)</f>
      </c>
      <c r="AK57" s="5">
        <f>INDEX(CEA_DETONATION_SOLVE($A$10:$D$12,D57,E57,C57,,,,,$B$5,,,$A$20:$A$51,$C$20:$C$28,$B$4,$B$6,FALSE),1,32)</f>
      </c>
      <c r="AL57" s="5">
        <f>INDEX(CEA_DETONATION_SOLVE($A$10:$D$12,D57,E57,C57,,,,,$B$5,,,$A$20:$A$51,$C$20:$C$28,$B$4,$B$6,FALSE),1,33)</f>
      </c>
      <c r="AM57" s="5">
        <f>INDEX(CEA_DETONATION_SOLVE($A$10:$D$12,D57,E57,C57,,,,,$B$5,,,$A$20:$A$51,$C$20:$C$28,$B$4,$B$6,FALSE),1,34)</f>
      </c>
      <c r="AN57" s="5">
        <f>INDEX(CEA_DETONATION_SOLVE($A$10:$D$12,D57,E57,C57,,,,,$B$5,,,$A$20:$A$51,$C$20:$C$28,$B$4,$B$6,FALSE),1,35)</f>
      </c>
      <c r="AO57" s="5">
        <f>INDEX(CEA_DETONATION_SOLVE($A$10:$D$12,D57,E57,C57,,,,,$B$5,,,$A$20:$A$51,$C$20:$C$28,$B$4,$B$6,FALSE),1,36)</f>
      </c>
      <c r="AP57" s="5">
        <f>INDEX(CEA_DETONATION_SOLVE($A$10:$D$12,D57,E57,C57,,,,,$B$5,,,$A$20:$A$51,$C$20:$C$28,$B$4,$B$6,FALSE),1,37)</f>
      </c>
      <c r="AQ57" s="5">
        <f>INDEX(CEA_DETONATION_SOLVE($A$10:$D$12,D57,E57,C57,,,,,$B$5,,,$A$20:$A$51,$C$20:$C$28,$B$4,$B$6,FALSE),1,38)</f>
      </c>
      <c r="AR57" s="5">
        <f>INDEX(CEA_DETONATION_SOLVE($A$10:$D$12,D57,E57,C57,,,,,$B$5,,,$A$20:$A$51,$C$20:$C$28,$B$4,$B$6,FALSE),1,39)</f>
      </c>
      <c r="AS57" s="5">
        <f>INDEX(CEA_DETONATION_SOLVE($A$10:$D$12,D57,E57,C57,,,,,$B$5,,,$A$20:$A$51,$C$20:$C$28,$B$4,$B$6,FALSE),1,40)</f>
      </c>
      <c r="AT57" s="5">
        <f>INDEX(CEA_DETONATION_SOLVE($A$10:$D$12,D57,E57,C57,,,,,$B$5,,,$A$20:$A$51,$C$20:$C$28,$B$4,$B$6,FALSE),1,41)</f>
      </c>
      <c r="AU57" s="5">
        <f>INDEX(CEA_DETONATION_SOLVE($A$10:$D$12,D57,E57,C57,,,,,$B$5,,,$A$20:$A$51,$C$20:$C$28,$B$4,$B$6,FALSE),1,42)</f>
      </c>
      <c r="AV57" s="5">
        <f>INDEX(CEA_DETONATION_SOLVE($A$10:$D$12,D57,E57,C57,,,,,$B$5,,,$A$20:$A$51,$C$20:$C$28,$B$4,$B$6,FALSE),1,43)</f>
      </c>
      <c r="AW57" s="5">
        <f>INDEX(CEA_DETONATION_SOLVE($A$10:$D$12,D57,E57,C57,,,,,$B$5,,,$A$20:$A$51,$C$20:$C$28,$B$4,$B$6,FALSE),1,44)</f>
      </c>
      <c r="AX57" s="5">
        <f>INDEX(CEA_DETONATION_SOLVE($A$10:$D$12,D57,E57,C57,,,,,$B$5,,,$A$20:$A$51,$C$20:$C$28,$B$4,$B$6,FALSE),1,45)</f>
      </c>
      <c r="AY57" s="5">
        <f>INDEX(CEA_DETONATION_SOLVE($A$10:$D$12,D57,E57,C57,,,,,$B$5,,,$A$20:$A$51,$C$20:$C$28,$B$4,$B$6,FALSE),1,46)</f>
      </c>
      <c r="AZ57" s="5">
        <f>INDEX(CEA_DETONATION_SOLVE($A$10:$D$12,D57,E57,C57,,,,,$B$5,,,$A$20:$A$51,$C$20:$C$28,$B$4,$B$6,FALSE),1,47)</f>
      </c>
      <c r="BA57" s="5">
        <f>INDEX(CEA_DETONATION_SOLVE($A$10:$D$12,D57,E57,C57,,,,,$B$5,,,$A$20:$A$51,$C$20:$C$28,$B$4,$B$6,FALSE),1,48)</f>
      </c>
      <c r="BB57" s="5">
        <f>INDEX(CEA_DETONATION_SOLVE($A$10:$D$12,D57,E57,C57,,,,,$B$5,,,$A$20:$A$51,$C$20:$C$28,$B$4,$B$6,FALSE),1,49)</f>
      </c>
      <c r="BC57" s="5">
        <f>INDEX(CEA_DETONATION_SOLVE($A$10:$D$12,D57,E57,C57,,,,,$B$5,,,$A$20:$A$51,$C$20:$C$28,$B$4,$B$6,FALSE),1,50)</f>
      </c>
      <c r="BD57" s="5">
        <f>INDEX(CEA_DETONATION_SOLVE($A$10:$D$12,D57,E57,C57,,,,,$B$5,,,$A$20:$A$51,$C$20:$C$28,$B$4,$B$6,FALSE),1,51)</f>
      </c>
      <c r="BE57" s="5">
        <f>INDEX(CEA_DETONATION_SOLVE($A$10:$D$12,D57,E57,C57,,,,,$B$5,,,$A$20:$A$51,$C$20:$C$28,$B$4,$B$6,FALSE),1,52)</f>
      </c>
      <c r="BF57" s="5">
        <f>INDEX(CEA_DETONATION_SOLVE($A$10:$D$12,D57,E57,C57,,,,,$B$5,,,$A$20:$A$51,$C$20:$C$28,$B$4,$B$6,FALSE),1,53)</f>
      </c>
    </row>
    <row r="58" spans="1:58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INDEX(CEA_DETONATION_SOLVE($A$10:$D$12,D58,E58,C58,,,,,$B$5,,,$A$20:$A$51,$C$20:$C$28,$B$4,$B$6,FALSE),1,1)</f>
      </c>
      <c r="G58" s="5">
        <f>INDEX(CEA_DETONATION_SOLVE($A$10:$D$12,D58,E58,C58,,,,,$B$5,,,$A$20:$A$51,$C$20:$C$28,$B$4,$B$6,FALSE),1,2)</f>
      </c>
      <c r="H58" s="5">
        <f>INDEX(CEA_DETONATION_SOLVE($A$10:$D$12,D58,E58,C58,,,,,$B$5,,,$A$20:$A$51,$C$20:$C$28,$B$4,$B$6,FALSE),1,3)</f>
      </c>
      <c r="I58" s="5">
        <f>INDEX(CEA_DETONATION_SOLVE($A$10:$D$12,D58,E58,C58,,,,,$B$5,,,$A$20:$A$51,$C$20:$C$28,$B$4,$B$6,FALSE),1,4)</f>
      </c>
      <c r="J58" s="5">
        <f>INDEX(CEA_DETONATION_SOLVE($A$10:$D$12,D58,E58,C58,,,,,$B$5,,,$A$20:$A$51,$C$20:$C$28,$B$4,$B$6,FALSE),1,5)</f>
      </c>
      <c r="K58" s="5">
        <f>INDEX(CEA_DETONATION_SOLVE($A$10:$D$12,D58,E58,C58,,,,,$B$5,,,$A$20:$A$51,$C$20:$C$28,$B$4,$B$6,FALSE),1,6)</f>
      </c>
      <c r="L58" s="5">
        <f>INDEX(CEA_DETONATION_SOLVE($A$10:$D$12,D58,E58,C58,,,,,$B$5,,,$A$20:$A$51,$C$20:$C$28,$B$4,$B$6,FALSE),1,7)</f>
      </c>
      <c r="M58" s="5">
        <f>INDEX(CEA_DETONATION_SOLVE($A$10:$D$12,D58,E58,C58,,,,,$B$5,,,$A$20:$A$51,$C$20:$C$28,$B$4,$B$6,FALSE),1,8)</f>
      </c>
      <c r="N58" s="5">
        <f>INDEX(CEA_DETONATION_SOLVE($A$10:$D$12,D58,E58,C58,,,,,$B$5,,,$A$20:$A$51,$C$20:$C$28,$B$4,$B$6,FALSE),1,9)</f>
      </c>
      <c r="O58" s="5">
        <f>INDEX(CEA_DETONATION_SOLVE($A$10:$D$12,D58,E58,C58,,,,,$B$5,,,$A$20:$A$51,$C$20:$C$28,$B$4,$B$6,FALSE),1,10)</f>
      </c>
      <c r="P58" s="5">
        <f>INDEX(CEA_DETONATION_SOLVE($A$10:$D$12,D58,E58,C58,,,,,$B$5,,,$A$20:$A$51,$C$20:$C$28,$B$4,$B$6,FALSE),1,11)</f>
      </c>
      <c r="Q58" s="5">
        <f>INDEX(CEA_DETONATION_SOLVE($A$10:$D$12,D58,E58,C58,,,,,$B$5,,,$A$20:$A$51,$C$20:$C$28,$B$4,$B$6,FALSE),1,12)</f>
      </c>
      <c r="R58" s="5">
        <f>INDEX(CEA_DETONATION_SOLVE($A$10:$D$12,D58,E58,C58,,,,,$B$5,,,$A$20:$A$51,$C$20:$C$28,$B$4,$B$6,FALSE),1,13)</f>
      </c>
      <c r="S58" s="5">
        <f>INDEX(CEA_DETONATION_SOLVE($A$10:$D$12,D58,E58,C58,,,,,$B$5,,,$A$20:$A$51,$C$20:$C$28,$B$4,$B$6,FALSE),1,14)</f>
      </c>
      <c r="T58" s="5">
        <f>INDEX(CEA_DETONATION_SOLVE($A$10:$D$12,D58,E58,C58,,,,,$B$5,,,$A$20:$A$51,$C$20:$C$28,$B$4,$B$6,FALSE),1,15)</f>
      </c>
      <c r="U58" s="5">
        <f>INDEX(CEA_DETONATION_SOLVE($A$10:$D$12,D58,E58,C58,,,,,$B$5,,,$A$20:$A$51,$C$20:$C$28,$B$4,$B$6,FALSE),1,16)</f>
      </c>
      <c r="V58" s="5">
        <f>INDEX(CEA_DETONATION_SOLVE($A$10:$D$12,D58,E58,C58,,,,,$B$5,,,$A$20:$A$51,$C$20:$C$28,$B$4,$B$6,FALSE),1,17)</f>
      </c>
      <c r="W58" s="5">
        <f>INDEX(CEA_DETONATION_SOLVE($A$10:$D$12,D58,E58,C58,,,,,$B$5,,,$A$20:$A$51,$C$20:$C$28,$B$4,$B$6,FALSE),1,18)</f>
      </c>
      <c r="X58" s="5">
        <f>INDEX(CEA_DETONATION_SOLVE($A$10:$D$12,D58,E58,C58,,,,,$B$5,,,$A$20:$A$51,$C$20:$C$28,$B$4,$B$6,FALSE),1,19)</f>
      </c>
      <c r="Y58" s="5">
        <f>INDEX(CEA_DETONATION_SOLVE($A$10:$D$12,D58,E58,C58,,,,,$B$5,,,$A$20:$A$51,$C$20:$C$28,$B$4,$B$6,FALSE),1,20)</f>
      </c>
      <c r="Z58" s="5">
        <f>INDEX(CEA_DETONATION_SOLVE($A$10:$D$12,D58,E58,C58,,,,,$B$5,,,$A$20:$A$51,$C$20:$C$28,$B$4,$B$6,FALSE),1,21)</f>
      </c>
      <c r="AA58" s="5">
        <f>INDEX(CEA_DETONATION_SOLVE($A$10:$D$12,D58,E58,C58,,,,,$B$5,,,$A$20:$A$51,$C$20:$C$28,$B$4,$B$6,FALSE),1,22)</f>
      </c>
      <c r="AB58" s="5">
        <f>INDEX(CEA_DETONATION_SOLVE($A$10:$D$12,D58,E58,C58,,,,,$B$5,,,$A$20:$A$51,$C$20:$C$28,$B$4,$B$6,FALSE),1,23)</f>
      </c>
      <c r="AC58" s="5">
        <f>INDEX(CEA_DETONATION_SOLVE($A$10:$D$12,D58,E58,C58,,,,,$B$5,,,$A$20:$A$51,$C$20:$C$28,$B$4,$B$6,FALSE),1,24)</f>
      </c>
      <c r="AD58" s="5">
        <f>INDEX(CEA_DETONATION_SOLVE($A$10:$D$12,D58,E58,C58,,,,,$B$5,,,$A$20:$A$51,$C$20:$C$28,$B$4,$B$6,FALSE),1,25)</f>
      </c>
      <c r="AE58" s="5">
        <f>INDEX(CEA_DETONATION_SOLVE($A$10:$D$12,D58,E58,C58,,,,,$B$5,,,$A$20:$A$51,$C$20:$C$28,$B$4,$B$6,FALSE),1,26)</f>
      </c>
      <c r="AF58" s="5">
        <f>INDEX(CEA_DETONATION_SOLVE($A$10:$D$12,D58,E58,C58,,,,,$B$5,,,$A$20:$A$51,$C$20:$C$28,$B$4,$B$6,FALSE),1,27)</f>
      </c>
      <c r="AG58" s="5">
        <f>INDEX(CEA_DETONATION_SOLVE($A$10:$D$12,D58,E58,C58,,,,,$B$5,,,$A$20:$A$51,$C$20:$C$28,$B$4,$B$6,FALSE),1,28)</f>
      </c>
      <c r="AH58" s="5">
        <f>INDEX(CEA_DETONATION_SOLVE($A$10:$D$12,D58,E58,C58,,,,,$B$5,,,$A$20:$A$51,$C$20:$C$28,$B$4,$B$6,FALSE),1,29)</f>
      </c>
      <c r="AI58" s="5">
        <f>INDEX(CEA_DETONATION_SOLVE($A$10:$D$12,D58,E58,C58,,,,,$B$5,,,$A$20:$A$51,$C$20:$C$28,$B$4,$B$6,FALSE),1,30)</f>
      </c>
      <c r="AJ58" s="5">
        <f>INDEX(CEA_DETONATION_SOLVE($A$10:$D$12,D58,E58,C58,,,,,$B$5,,,$A$20:$A$51,$C$20:$C$28,$B$4,$B$6,FALSE),1,31)</f>
      </c>
      <c r="AK58" s="5">
        <f>INDEX(CEA_DETONATION_SOLVE($A$10:$D$12,D58,E58,C58,,,,,$B$5,,,$A$20:$A$51,$C$20:$C$28,$B$4,$B$6,FALSE),1,32)</f>
      </c>
      <c r="AL58" s="5">
        <f>INDEX(CEA_DETONATION_SOLVE($A$10:$D$12,D58,E58,C58,,,,,$B$5,,,$A$20:$A$51,$C$20:$C$28,$B$4,$B$6,FALSE),1,33)</f>
      </c>
      <c r="AM58" s="5">
        <f>INDEX(CEA_DETONATION_SOLVE($A$10:$D$12,D58,E58,C58,,,,,$B$5,,,$A$20:$A$51,$C$20:$C$28,$B$4,$B$6,FALSE),1,34)</f>
      </c>
      <c r="AN58" s="5">
        <f>INDEX(CEA_DETONATION_SOLVE($A$10:$D$12,D58,E58,C58,,,,,$B$5,,,$A$20:$A$51,$C$20:$C$28,$B$4,$B$6,FALSE),1,35)</f>
      </c>
      <c r="AO58" s="5">
        <f>INDEX(CEA_DETONATION_SOLVE($A$10:$D$12,D58,E58,C58,,,,,$B$5,,,$A$20:$A$51,$C$20:$C$28,$B$4,$B$6,FALSE),1,36)</f>
      </c>
      <c r="AP58" s="5">
        <f>INDEX(CEA_DETONATION_SOLVE($A$10:$D$12,D58,E58,C58,,,,,$B$5,,,$A$20:$A$51,$C$20:$C$28,$B$4,$B$6,FALSE),1,37)</f>
      </c>
      <c r="AQ58" s="5">
        <f>INDEX(CEA_DETONATION_SOLVE($A$10:$D$12,D58,E58,C58,,,,,$B$5,,,$A$20:$A$51,$C$20:$C$28,$B$4,$B$6,FALSE),1,38)</f>
      </c>
      <c r="AR58" s="5">
        <f>INDEX(CEA_DETONATION_SOLVE($A$10:$D$12,D58,E58,C58,,,,,$B$5,,,$A$20:$A$51,$C$20:$C$28,$B$4,$B$6,FALSE),1,39)</f>
      </c>
      <c r="AS58" s="5">
        <f>INDEX(CEA_DETONATION_SOLVE($A$10:$D$12,D58,E58,C58,,,,,$B$5,,,$A$20:$A$51,$C$20:$C$28,$B$4,$B$6,FALSE),1,40)</f>
      </c>
      <c r="AT58" s="5">
        <f>INDEX(CEA_DETONATION_SOLVE($A$10:$D$12,D58,E58,C58,,,,,$B$5,,,$A$20:$A$51,$C$20:$C$28,$B$4,$B$6,FALSE),1,41)</f>
      </c>
      <c r="AU58" s="5">
        <f>INDEX(CEA_DETONATION_SOLVE($A$10:$D$12,D58,E58,C58,,,,,$B$5,,,$A$20:$A$51,$C$20:$C$28,$B$4,$B$6,FALSE),1,42)</f>
      </c>
      <c r="AV58" s="5">
        <f>INDEX(CEA_DETONATION_SOLVE($A$10:$D$12,D58,E58,C58,,,,,$B$5,,,$A$20:$A$51,$C$20:$C$28,$B$4,$B$6,FALSE),1,43)</f>
      </c>
      <c r="AW58" s="5">
        <f>INDEX(CEA_DETONATION_SOLVE($A$10:$D$12,D58,E58,C58,,,,,$B$5,,,$A$20:$A$51,$C$20:$C$28,$B$4,$B$6,FALSE),1,44)</f>
      </c>
      <c r="AX58" s="5">
        <f>INDEX(CEA_DETONATION_SOLVE($A$10:$D$12,D58,E58,C58,,,,,$B$5,,,$A$20:$A$51,$C$20:$C$28,$B$4,$B$6,FALSE),1,45)</f>
      </c>
      <c r="AY58" s="5">
        <f>INDEX(CEA_DETONATION_SOLVE($A$10:$D$12,D58,E58,C58,,,,,$B$5,,,$A$20:$A$51,$C$20:$C$28,$B$4,$B$6,FALSE),1,46)</f>
      </c>
      <c r="AZ58" s="5">
        <f>INDEX(CEA_DETONATION_SOLVE($A$10:$D$12,D58,E58,C58,,,,,$B$5,,,$A$20:$A$51,$C$20:$C$28,$B$4,$B$6,FALSE),1,47)</f>
      </c>
      <c r="BA58" s="5">
        <f>INDEX(CEA_DETONATION_SOLVE($A$10:$D$12,D58,E58,C58,,,,,$B$5,,,$A$20:$A$51,$C$20:$C$28,$B$4,$B$6,FALSE),1,48)</f>
      </c>
      <c r="BB58" s="5">
        <f>INDEX(CEA_DETONATION_SOLVE($A$10:$D$12,D58,E58,C58,,,,,$B$5,,,$A$20:$A$51,$C$20:$C$28,$B$4,$B$6,FALSE),1,49)</f>
      </c>
      <c r="BC58" s="5">
        <f>INDEX(CEA_DETONATION_SOLVE($A$10:$D$12,D58,E58,C58,,,,,$B$5,,,$A$20:$A$51,$C$20:$C$28,$B$4,$B$6,FALSE),1,50)</f>
      </c>
      <c r="BD58" s="5">
        <f>INDEX(CEA_DETONATION_SOLVE($A$10:$D$12,D58,E58,C58,,,,,$B$5,,,$A$20:$A$51,$C$20:$C$28,$B$4,$B$6,FALSE),1,51)</f>
      </c>
      <c r="BE58" s="5">
        <f>INDEX(CEA_DETONATION_SOLVE($A$10:$D$12,D58,E58,C58,,,,,$B$5,,,$A$20:$A$51,$C$20:$C$28,$B$4,$B$6,FALSE),1,52)</f>
      </c>
      <c r="BF58" s="5">
        <f>INDEX(CEA_DETONATION_SOLVE($A$10:$D$12,D58,E58,C58,,,,,$B$5,,,$A$20:$A$51,$C$20:$C$28,$B$4,$B$6,FALSE),1,53)</f>
      </c>
    </row>
    <row r="59" spans="1:58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INDEX(CEA_DETONATION_SOLVE($A$10:$D$12,D59,E59,C59,,,,,$B$5,,,$A$20:$A$51,$C$20:$C$28,$B$4,$B$6,FALSE),1,1)</f>
      </c>
      <c r="G59" s="5">
        <f>INDEX(CEA_DETONATION_SOLVE($A$10:$D$12,D59,E59,C59,,,,,$B$5,,,$A$20:$A$51,$C$20:$C$28,$B$4,$B$6,FALSE),1,2)</f>
      </c>
      <c r="H59" s="5">
        <f>INDEX(CEA_DETONATION_SOLVE($A$10:$D$12,D59,E59,C59,,,,,$B$5,,,$A$20:$A$51,$C$20:$C$28,$B$4,$B$6,FALSE),1,3)</f>
      </c>
      <c r="I59" s="5">
        <f>INDEX(CEA_DETONATION_SOLVE($A$10:$D$12,D59,E59,C59,,,,,$B$5,,,$A$20:$A$51,$C$20:$C$28,$B$4,$B$6,FALSE),1,4)</f>
      </c>
      <c r="J59" s="5">
        <f>INDEX(CEA_DETONATION_SOLVE($A$10:$D$12,D59,E59,C59,,,,,$B$5,,,$A$20:$A$51,$C$20:$C$28,$B$4,$B$6,FALSE),1,5)</f>
      </c>
      <c r="K59" s="5">
        <f>INDEX(CEA_DETONATION_SOLVE($A$10:$D$12,D59,E59,C59,,,,,$B$5,,,$A$20:$A$51,$C$20:$C$28,$B$4,$B$6,FALSE),1,6)</f>
      </c>
      <c r="L59" s="5">
        <f>INDEX(CEA_DETONATION_SOLVE($A$10:$D$12,D59,E59,C59,,,,,$B$5,,,$A$20:$A$51,$C$20:$C$28,$B$4,$B$6,FALSE),1,7)</f>
      </c>
      <c r="M59" s="5">
        <f>INDEX(CEA_DETONATION_SOLVE($A$10:$D$12,D59,E59,C59,,,,,$B$5,,,$A$20:$A$51,$C$20:$C$28,$B$4,$B$6,FALSE),1,8)</f>
      </c>
      <c r="N59" s="5">
        <f>INDEX(CEA_DETONATION_SOLVE($A$10:$D$12,D59,E59,C59,,,,,$B$5,,,$A$20:$A$51,$C$20:$C$28,$B$4,$B$6,FALSE),1,9)</f>
      </c>
      <c r="O59" s="5">
        <f>INDEX(CEA_DETONATION_SOLVE($A$10:$D$12,D59,E59,C59,,,,,$B$5,,,$A$20:$A$51,$C$20:$C$28,$B$4,$B$6,FALSE),1,10)</f>
      </c>
      <c r="P59" s="5">
        <f>INDEX(CEA_DETONATION_SOLVE($A$10:$D$12,D59,E59,C59,,,,,$B$5,,,$A$20:$A$51,$C$20:$C$28,$B$4,$B$6,FALSE),1,11)</f>
      </c>
      <c r="Q59" s="5">
        <f>INDEX(CEA_DETONATION_SOLVE($A$10:$D$12,D59,E59,C59,,,,,$B$5,,,$A$20:$A$51,$C$20:$C$28,$B$4,$B$6,FALSE),1,12)</f>
      </c>
      <c r="R59" s="5">
        <f>INDEX(CEA_DETONATION_SOLVE($A$10:$D$12,D59,E59,C59,,,,,$B$5,,,$A$20:$A$51,$C$20:$C$28,$B$4,$B$6,FALSE),1,13)</f>
      </c>
      <c r="S59" s="5">
        <f>INDEX(CEA_DETONATION_SOLVE($A$10:$D$12,D59,E59,C59,,,,,$B$5,,,$A$20:$A$51,$C$20:$C$28,$B$4,$B$6,FALSE),1,14)</f>
      </c>
      <c r="T59" s="5">
        <f>INDEX(CEA_DETONATION_SOLVE($A$10:$D$12,D59,E59,C59,,,,,$B$5,,,$A$20:$A$51,$C$20:$C$28,$B$4,$B$6,FALSE),1,15)</f>
      </c>
      <c r="U59" s="5">
        <f>INDEX(CEA_DETONATION_SOLVE($A$10:$D$12,D59,E59,C59,,,,,$B$5,,,$A$20:$A$51,$C$20:$C$28,$B$4,$B$6,FALSE),1,16)</f>
      </c>
      <c r="V59" s="5">
        <f>INDEX(CEA_DETONATION_SOLVE($A$10:$D$12,D59,E59,C59,,,,,$B$5,,,$A$20:$A$51,$C$20:$C$28,$B$4,$B$6,FALSE),1,17)</f>
      </c>
      <c r="W59" s="5">
        <f>INDEX(CEA_DETONATION_SOLVE($A$10:$D$12,D59,E59,C59,,,,,$B$5,,,$A$20:$A$51,$C$20:$C$28,$B$4,$B$6,FALSE),1,18)</f>
      </c>
      <c r="X59" s="5">
        <f>INDEX(CEA_DETONATION_SOLVE($A$10:$D$12,D59,E59,C59,,,,,$B$5,,,$A$20:$A$51,$C$20:$C$28,$B$4,$B$6,FALSE),1,19)</f>
      </c>
      <c r="Y59" s="5">
        <f>INDEX(CEA_DETONATION_SOLVE($A$10:$D$12,D59,E59,C59,,,,,$B$5,,,$A$20:$A$51,$C$20:$C$28,$B$4,$B$6,FALSE),1,20)</f>
      </c>
      <c r="Z59" s="5">
        <f>INDEX(CEA_DETONATION_SOLVE($A$10:$D$12,D59,E59,C59,,,,,$B$5,,,$A$20:$A$51,$C$20:$C$28,$B$4,$B$6,FALSE),1,21)</f>
      </c>
      <c r="AA59" s="5">
        <f>INDEX(CEA_DETONATION_SOLVE($A$10:$D$12,D59,E59,C59,,,,,$B$5,,,$A$20:$A$51,$C$20:$C$28,$B$4,$B$6,FALSE),1,22)</f>
      </c>
      <c r="AB59" s="5">
        <f>INDEX(CEA_DETONATION_SOLVE($A$10:$D$12,D59,E59,C59,,,,,$B$5,,,$A$20:$A$51,$C$20:$C$28,$B$4,$B$6,FALSE),1,23)</f>
      </c>
      <c r="AC59" s="5">
        <f>INDEX(CEA_DETONATION_SOLVE($A$10:$D$12,D59,E59,C59,,,,,$B$5,,,$A$20:$A$51,$C$20:$C$28,$B$4,$B$6,FALSE),1,24)</f>
      </c>
      <c r="AD59" s="5">
        <f>INDEX(CEA_DETONATION_SOLVE($A$10:$D$12,D59,E59,C59,,,,,$B$5,,,$A$20:$A$51,$C$20:$C$28,$B$4,$B$6,FALSE),1,25)</f>
      </c>
      <c r="AE59" s="5">
        <f>INDEX(CEA_DETONATION_SOLVE($A$10:$D$12,D59,E59,C59,,,,,$B$5,,,$A$20:$A$51,$C$20:$C$28,$B$4,$B$6,FALSE),1,26)</f>
      </c>
      <c r="AF59" s="5">
        <f>INDEX(CEA_DETONATION_SOLVE($A$10:$D$12,D59,E59,C59,,,,,$B$5,,,$A$20:$A$51,$C$20:$C$28,$B$4,$B$6,FALSE),1,27)</f>
      </c>
      <c r="AG59" s="5">
        <f>INDEX(CEA_DETONATION_SOLVE($A$10:$D$12,D59,E59,C59,,,,,$B$5,,,$A$20:$A$51,$C$20:$C$28,$B$4,$B$6,FALSE),1,28)</f>
      </c>
      <c r="AH59" s="5">
        <f>INDEX(CEA_DETONATION_SOLVE($A$10:$D$12,D59,E59,C59,,,,,$B$5,,,$A$20:$A$51,$C$20:$C$28,$B$4,$B$6,FALSE),1,29)</f>
      </c>
      <c r="AI59" s="5">
        <f>INDEX(CEA_DETONATION_SOLVE($A$10:$D$12,D59,E59,C59,,,,,$B$5,,,$A$20:$A$51,$C$20:$C$28,$B$4,$B$6,FALSE),1,30)</f>
      </c>
      <c r="AJ59" s="5">
        <f>INDEX(CEA_DETONATION_SOLVE($A$10:$D$12,D59,E59,C59,,,,,$B$5,,,$A$20:$A$51,$C$20:$C$28,$B$4,$B$6,FALSE),1,31)</f>
      </c>
      <c r="AK59" s="5">
        <f>INDEX(CEA_DETONATION_SOLVE($A$10:$D$12,D59,E59,C59,,,,,$B$5,,,$A$20:$A$51,$C$20:$C$28,$B$4,$B$6,FALSE),1,32)</f>
      </c>
      <c r="AL59" s="5">
        <f>INDEX(CEA_DETONATION_SOLVE($A$10:$D$12,D59,E59,C59,,,,,$B$5,,,$A$20:$A$51,$C$20:$C$28,$B$4,$B$6,FALSE),1,33)</f>
      </c>
      <c r="AM59" s="5">
        <f>INDEX(CEA_DETONATION_SOLVE($A$10:$D$12,D59,E59,C59,,,,,$B$5,,,$A$20:$A$51,$C$20:$C$28,$B$4,$B$6,FALSE),1,34)</f>
      </c>
      <c r="AN59" s="5">
        <f>INDEX(CEA_DETONATION_SOLVE($A$10:$D$12,D59,E59,C59,,,,,$B$5,,,$A$20:$A$51,$C$20:$C$28,$B$4,$B$6,FALSE),1,35)</f>
      </c>
      <c r="AO59" s="5">
        <f>INDEX(CEA_DETONATION_SOLVE($A$10:$D$12,D59,E59,C59,,,,,$B$5,,,$A$20:$A$51,$C$20:$C$28,$B$4,$B$6,FALSE),1,36)</f>
      </c>
      <c r="AP59" s="5">
        <f>INDEX(CEA_DETONATION_SOLVE($A$10:$D$12,D59,E59,C59,,,,,$B$5,,,$A$20:$A$51,$C$20:$C$28,$B$4,$B$6,FALSE),1,37)</f>
      </c>
      <c r="AQ59" s="5">
        <f>INDEX(CEA_DETONATION_SOLVE($A$10:$D$12,D59,E59,C59,,,,,$B$5,,,$A$20:$A$51,$C$20:$C$28,$B$4,$B$6,FALSE),1,38)</f>
      </c>
      <c r="AR59" s="5">
        <f>INDEX(CEA_DETONATION_SOLVE($A$10:$D$12,D59,E59,C59,,,,,$B$5,,,$A$20:$A$51,$C$20:$C$28,$B$4,$B$6,FALSE),1,39)</f>
      </c>
      <c r="AS59" s="5">
        <f>INDEX(CEA_DETONATION_SOLVE($A$10:$D$12,D59,E59,C59,,,,,$B$5,,,$A$20:$A$51,$C$20:$C$28,$B$4,$B$6,FALSE),1,40)</f>
      </c>
      <c r="AT59" s="5">
        <f>INDEX(CEA_DETONATION_SOLVE($A$10:$D$12,D59,E59,C59,,,,,$B$5,,,$A$20:$A$51,$C$20:$C$28,$B$4,$B$6,FALSE),1,41)</f>
      </c>
      <c r="AU59" s="5">
        <f>INDEX(CEA_DETONATION_SOLVE($A$10:$D$12,D59,E59,C59,,,,,$B$5,,,$A$20:$A$51,$C$20:$C$28,$B$4,$B$6,FALSE),1,42)</f>
      </c>
      <c r="AV59" s="5">
        <f>INDEX(CEA_DETONATION_SOLVE($A$10:$D$12,D59,E59,C59,,,,,$B$5,,,$A$20:$A$51,$C$20:$C$28,$B$4,$B$6,FALSE),1,43)</f>
      </c>
      <c r="AW59" s="5">
        <f>INDEX(CEA_DETONATION_SOLVE($A$10:$D$12,D59,E59,C59,,,,,$B$5,,,$A$20:$A$51,$C$20:$C$28,$B$4,$B$6,FALSE),1,44)</f>
      </c>
      <c r="AX59" s="5">
        <f>INDEX(CEA_DETONATION_SOLVE($A$10:$D$12,D59,E59,C59,,,,,$B$5,,,$A$20:$A$51,$C$20:$C$28,$B$4,$B$6,FALSE),1,45)</f>
      </c>
      <c r="AY59" s="5">
        <f>INDEX(CEA_DETONATION_SOLVE($A$10:$D$12,D59,E59,C59,,,,,$B$5,,,$A$20:$A$51,$C$20:$C$28,$B$4,$B$6,FALSE),1,46)</f>
      </c>
      <c r="AZ59" s="5">
        <f>INDEX(CEA_DETONATION_SOLVE($A$10:$D$12,D59,E59,C59,,,,,$B$5,,,$A$20:$A$51,$C$20:$C$28,$B$4,$B$6,FALSE),1,47)</f>
      </c>
      <c r="BA59" s="5">
        <f>INDEX(CEA_DETONATION_SOLVE($A$10:$D$12,D59,E59,C59,,,,,$B$5,,,$A$20:$A$51,$C$20:$C$28,$B$4,$B$6,FALSE),1,48)</f>
      </c>
      <c r="BB59" s="5">
        <f>INDEX(CEA_DETONATION_SOLVE($A$10:$D$12,D59,E59,C59,,,,,$B$5,,,$A$20:$A$51,$C$20:$C$28,$B$4,$B$6,FALSE),1,49)</f>
      </c>
      <c r="BC59" s="5">
        <f>INDEX(CEA_DETONATION_SOLVE($A$10:$D$12,D59,E59,C59,,,,,$B$5,,,$A$20:$A$51,$C$20:$C$28,$B$4,$B$6,FALSE),1,50)</f>
      </c>
      <c r="BD59" s="5">
        <f>INDEX(CEA_DETONATION_SOLVE($A$10:$D$12,D59,E59,C59,,,,,$B$5,,,$A$20:$A$51,$C$20:$C$28,$B$4,$B$6,FALSE),1,51)</f>
      </c>
      <c r="BE59" s="5">
        <f>INDEX(CEA_DETONATION_SOLVE($A$10:$D$12,D59,E59,C59,,,,,$B$5,,,$A$20:$A$51,$C$20:$C$28,$B$4,$B$6,FALSE),1,52)</f>
      </c>
      <c r="BF59" s="5">
        <f>INDEX(CEA_DETONATION_SOLVE($A$10:$D$12,D59,E59,C59,,,,,$B$5,,,$A$20:$A$51,$C$20:$C$28,$B$4,$B$6,FALSE),1,53)</f>
      </c>
    </row>
    <row r="60" spans="1:58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INDEX(CEA_DETONATION_SOLVE($A$10:$D$12,D60,E60,C60,,,,,$B$5,,,$A$20:$A$51,$C$20:$C$28,$B$4,$B$6,FALSE),1,1)</f>
      </c>
      <c r="G60" s="5">
        <f>INDEX(CEA_DETONATION_SOLVE($A$10:$D$12,D60,E60,C60,,,,,$B$5,,,$A$20:$A$51,$C$20:$C$28,$B$4,$B$6,FALSE),1,2)</f>
      </c>
      <c r="H60" s="5">
        <f>INDEX(CEA_DETONATION_SOLVE($A$10:$D$12,D60,E60,C60,,,,,$B$5,,,$A$20:$A$51,$C$20:$C$28,$B$4,$B$6,FALSE),1,3)</f>
      </c>
      <c r="I60" s="5">
        <f>INDEX(CEA_DETONATION_SOLVE($A$10:$D$12,D60,E60,C60,,,,,$B$5,,,$A$20:$A$51,$C$20:$C$28,$B$4,$B$6,FALSE),1,4)</f>
      </c>
      <c r="J60" s="5">
        <f>INDEX(CEA_DETONATION_SOLVE($A$10:$D$12,D60,E60,C60,,,,,$B$5,,,$A$20:$A$51,$C$20:$C$28,$B$4,$B$6,FALSE),1,5)</f>
      </c>
      <c r="K60" s="5">
        <f>INDEX(CEA_DETONATION_SOLVE($A$10:$D$12,D60,E60,C60,,,,,$B$5,,,$A$20:$A$51,$C$20:$C$28,$B$4,$B$6,FALSE),1,6)</f>
      </c>
      <c r="L60" s="5">
        <f>INDEX(CEA_DETONATION_SOLVE($A$10:$D$12,D60,E60,C60,,,,,$B$5,,,$A$20:$A$51,$C$20:$C$28,$B$4,$B$6,FALSE),1,7)</f>
      </c>
      <c r="M60" s="5">
        <f>INDEX(CEA_DETONATION_SOLVE($A$10:$D$12,D60,E60,C60,,,,,$B$5,,,$A$20:$A$51,$C$20:$C$28,$B$4,$B$6,FALSE),1,8)</f>
      </c>
      <c r="N60" s="5">
        <f>INDEX(CEA_DETONATION_SOLVE($A$10:$D$12,D60,E60,C60,,,,,$B$5,,,$A$20:$A$51,$C$20:$C$28,$B$4,$B$6,FALSE),1,9)</f>
      </c>
      <c r="O60" s="5">
        <f>INDEX(CEA_DETONATION_SOLVE($A$10:$D$12,D60,E60,C60,,,,,$B$5,,,$A$20:$A$51,$C$20:$C$28,$B$4,$B$6,FALSE),1,10)</f>
      </c>
      <c r="P60" s="5">
        <f>INDEX(CEA_DETONATION_SOLVE($A$10:$D$12,D60,E60,C60,,,,,$B$5,,,$A$20:$A$51,$C$20:$C$28,$B$4,$B$6,FALSE),1,11)</f>
      </c>
      <c r="Q60" s="5">
        <f>INDEX(CEA_DETONATION_SOLVE($A$10:$D$12,D60,E60,C60,,,,,$B$5,,,$A$20:$A$51,$C$20:$C$28,$B$4,$B$6,FALSE),1,12)</f>
      </c>
      <c r="R60" s="5">
        <f>INDEX(CEA_DETONATION_SOLVE($A$10:$D$12,D60,E60,C60,,,,,$B$5,,,$A$20:$A$51,$C$20:$C$28,$B$4,$B$6,FALSE),1,13)</f>
      </c>
      <c r="S60" s="5">
        <f>INDEX(CEA_DETONATION_SOLVE($A$10:$D$12,D60,E60,C60,,,,,$B$5,,,$A$20:$A$51,$C$20:$C$28,$B$4,$B$6,FALSE),1,14)</f>
      </c>
      <c r="T60" s="5">
        <f>INDEX(CEA_DETONATION_SOLVE($A$10:$D$12,D60,E60,C60,,,,,$B$5,,,$A$20:$A$51,$C$20:$C$28,$B$4,$B$6,FALSE),1,15)</f>
      </c>
      <c r="U60" s="5">
        <f>INDEX(CEA_DETONATION_SOLVE($A$10:$D$12,D60,E60,C60,,,,,$B$5,,,$A$20:$A$51,$C$20:$C$28,$B$4,$B$6,FALSE),1,16)</f>
      </c>
      <c r="V60" s="5">
        <f>INDEX(CEA_DETONATION_SOLVE($A$10:$D$12,D60,E60,C60,,,,,$B$5,,,$A$20:$A$51,$C$20:$C$28,$B$4,$B$6,FALSE),1,17)</f>
      </c>
      <c r="W60" s="5">
        <f>INDEX(CEA_DETONATION_SOLVE($A$10:$D$12,D60,E60,C60,,,,,$B$5,,,$A$20:$A$51,$C$20:$C$28,$B$4,$B$6,FALSE),1,18)</f>
      </c>
      <c r="X60" s="5">
        <f>INDEX(CEA_DETONATION_SOLVE($A$10:$D$12,D60,E60,C60,,,,,$B$5,,,$A$20:$A$51,$C$20:$C$28,$B$4,$B$6,FALSE),1,19)</f>
      </c>
      <c r="Y60" s="5">
        <f>INDEX(CEA_DETONATION_SOLVE($A$10:$D$12,D60,E60,C60,,,,,$B$5,,,$A$20:$A$51,$C$20:$C$28,$B$4,$B$6,FALSE),1,20)</f>
      </c>
      <c r="Z60" s="5">
        <f>INDEX(CEA_DETONATION_SOLVE($A$10:$D$12,D60,E60,C60,,,,,$B$5,,,$A$20:$A$51,$C$20:$C$28,$B$4,$B$6,FALSE),1,21)</f>
      </c>
      <c r="AA60" s="5">
        <f>INDEX(CEA_DETONATION_SOLVE($A$10:$D$12,D60,E60,C60,,,,,$B$5,,,$A$20:$A$51,$C$20:$C$28,$B$4,$B$6,FALSE),1,22)</f>
      </c>
      <c r="AB60" s="5">
        <f>INDEX(CEA_DETONATION_SOLVE($A$10:$D$12,D60,E60,C60,,,,,$B$5,,,$A$20:$A$51,$C$20:$C$28,$B$4,$B$6,FALSE),1,23)</f>
      </c>
      <c r="AC60" s="5">
        <f>INDEX(CEA_DETONATION_SOLVE($A$10:$D$12,D60,E60,C60,,,,,$B$5,,,$A$20:$A$51,$C$20:$C$28,$B$4,$B$6,FALSE),1,24)</f>
      </c>
      <c r="AD60" s="5">
        <f>INDEX(CEA_DETONATION_SOLVE($A$10:$D$12,D60,E60,C60,,,,,$B$5,,,$A$20:$A$51,$C$20:$C$28,$B$4,$B$6,FALSE),1,25)</f>
      </c>
      <c r="AE60" s="5">
        <f>INDEX(CEA_DETONATION_SOLVE($A$10:$D$12,D60,E60,C60,,,,,$B$5,,,$A$20:$A$51,$C$20:$C$28,$B$4,$B$6,FALSE),1,26)</f>
      </c>
      <c r="AF60" s="5">
        <f>INDEX(CEA_DETONATION_SOLVE($A$10:$D$12,D60,E60,C60,,,,,$B$5,,,$A$20:$A$51,$C$20:$C$28,$B$4,$B$6,FALSE),1,27)</f>
      </c>
      <c r="AG60" s="5">
        <f>INDEX(CEA_DETONATION_SOLVE($A$10:$D$12,D60,E60,C60,,,,,$B$5,,,$A$20:$A$51,$C$20:$C$28,$B$4,$B$6,FALSE),1,28)</f>
      </c>
      <c r="AH60" s="5">
        <f>INDEX(CEA_DETONATION_SOLVE($A$10:$D$12,D60,E60,C60,,,,,$B$5,,,$A$20:$A$51,$C$20:$C$28,$B$4,$B$6,FALSE),1,29)</f>
      </c>
      <c r="AI60" s="5">
        <f>INDEX(CEA_DETONATION_SOLVE($A$10:$D$12,D60,E60,C60,,,,,$B$5,,,$A$20:$A$51,$C$20:$C$28,$B$4,$B$6,FALSE),1,30)</f>
      </c>
      <c r="AJ60" s="5">
        <f>INDEX(CEA_DETONATION_SOLVE($A$10:$D$12,D60,E60,C60,,,,,$B$5,,,$A$20:$A$51,$C$20:$C$28,$B$4,$B$6,FALSE),1,31)</f>
      </c>
      <c r="AK60" s="5">
        <f>INDEX(CEA_DETONATION_SOLVE($A$10:$D$12,D60,E60,C60,,,,,$B$5,,,$A$20:$A$51,$C$20:$C$28,$B$4,$B$6,FALSE),1,32)</f>
      </c>
      <c r="AL60" s="5">
        <f>INDEX(CEA_DETONATION_SOLVE($A$10:$D$12,D60,E60,C60,,,,,$B$5,,,$A$20:$A$51,$C$20:$C$28,$B$4,$B$6,FALSE),1,33)</f>
      </c>
      <c r="AM60" s="5">
        <f>INDEX(CEA_DETONATION_SOLVE($A$10:$D$12,D60,E60,C60,,,,,$B$5,,,$A$20:$A$51,$C$20:$C$28,$B$4,$B$6,FALSE),1,34)</f>
      </c>
      <c r="AN60" s="5">
        <f>INDEX(CEA_DETONATION_SOLVE($A$10:$D$12,D60,E60,C60,,,,,$B$5,,,$A$20:$A$51,$C$20:$C$28,$B$4,$B$6,FALSE),1,35)</f>
      </c>
      <c r="AO60" s="5">
        <f>INDEX(CEA_DETONATION_SOLVE($A$10:$D$12,D60,E60,C60,,,,,$B$5,,,$A$20:$A$51,$C$20:$C$28,$B$4,$B$6,FALSE),1,36)</f>
      </c>
      <c r="AP60" s="5">
        <f>INDEX(CEA_DETONATION_SOLVE($A$10:$D$12,D60,E60,C60,,,,,$B$5,,,$A$20:$A$51,$C$20:$C$28,$B$4,$B$6,FALSE),1,37)</f>
      </c>
      <c r="AQ60" s="5">
        <f>INDEX(CEA_DETONATION_SOLVE($A$10:$D$12,D60,E60,C60,,,,,$B$5,,,$A$20:$A$51,$C$20:$C$28,$B$4,$B$6,FALSE),1,38)</f>
      </c>
      <c r="AR60" s="5">
        <f>INDEX(CEA_DETONATION_SOLVE($A$10:$D$12,D60,E60,C60,,,,,$B$5,,,$A$20:$A$51,$C$20:$C$28,$B$4,$B$6,FALSE),1,39)</f>
      </c>
      <c r="AS60" s="5">
        <f>INDEX(CEA_DETONATION_SOLVE($A$10:$D$12,D60,E60,C60,,,,,$B$5,,,$A$20:$A$51,$C$20:$C$28,$B$4,$B$6,FALSE),1,40)</f>
      </c>
      <c r="AT60" s="5">
        <f>INDEX(CEA_DETONATION_SOLVE($A$10:$D$12,D60,E60,C60,,,,,$B$5,,,$A$20:$A$51,$C$20:$C$28,$B$4,$B$6,FALSE),1,41)</f>
      </c>
      <c r="AU60" s="5">
        <f>INDEX(CEA_DETONATION_SOLVE($A$10:$D$12,D60,E60,C60,,,,,$B$5,,,$A$20:$A$51,$C$20:$C$28,$B$4,$B$6,FALSE),1,42)</f>
      </c>
      <c r="AV60" s="5">
        <f>INDEX(CEA_DETONATION_SOLVE($A$10:$D$12,D60,E60,C60,,,,,$B$5,,,$A$20:$A$51,$C$20:$C$28,$B$4,$B$6,FALSE),1,43)</f>
      </c>
      <c r="AW60" s="5">
        <f>INDEX(CEA_DETONATION_SOLVE($A$10:$D$12,D60,E60,C60,,,,,$B$5,,,$A$20:$A$51,$C$20:$C$28,$B$4,$B$6,FALSE),1,44)</f>
      </c>
      <c r="AX60" s="5">
        <f>INDEX(CEA_DETONATION_SOLVE($A$10:$D$12,D60,E60,C60,,,,,$B$5,,,$A$20:$A$51,$C$20:$C$28,$B$4,$B$6,FALSE),1,45)</f>
      </c>
      <c r="AY60" s="5">
        <f>INDEX(CEA_DETONATION_SOLVE($A$10:$D$12,D60,E60,C60,,,,,$B$5,,,$A$20:$A$51,$C$20:$C$28,$B$4,$B$6,FALSE),1,46)</f>
      </c>
      <c r="AZ60" s="5">
        <f>INDEX(CEA_DETONATION_SOLVE($A$10:$D$12,D60,E60,C60,,,,,$B$5,,,$A$20:$A$51,$C$20:$C$28,$B$4,$B$6,FALSE),1,47)</f>
      </c>
      <c r="BA60" s="5">
        <f>INDEX(CEA_DETONATION_SOLVE($A$10:$D$12,D60,E60,C60,,,,,$B$5,,,$A$20:$A$51,$C$20:$C$28,$B$4,$B$6,FALSE),1,48)</f>
      </c>
      <c r="BB60" s="5">
        <f>INDEX(CEA_DETONATION_SOLVE($A$10:$D$12,D60,E60,C60,,,,,$B$5,,,$A$20:$A$51,$C$20:$C$28,$B$4,$B$6,FALSE),1,49)</f>
      </c>
      <c r="BC60" s="5">
        <f>INDEX(CEA_DETONATION_SOLVE($A$10:$D$12,D60,E60,C60,,,,,$B$5,,,$A$20:$A$51,$C$20:$C$28,$B$4,$B$6,FALSE),1,50)</f>
      </c>
      <c r="BD60" s="5">
        <f>INDEX(CEA_DETONATION_SOLVE($A$10:$D$12,D60,E60,C60,,,,,$B$5,,,$A$20:$A$51,$C$20:$C$28,$B$4,$B$6,FALSE),1,51)</f>
      </c>
      <c r="BE60" s="5">
        <f>INDEX(CEA_DETONATION_SOLVE($A$10:$D$12,D60,E60,C60,,,,,$B$5,,,$A$20:$A$51,$C$20:$C$28,$B$4,$B$6,FALSE),1,52)</f>
      </c>
      <c r="BF60" s="5">
        <f>INDEX(CEA_DETONATION_SOLVE($A$10:$D$12,D60,E60,C60,,,,,$B$5,,,$A$20:$A$51,$C$20:$C$28,$B$4,$B$6,FALSE),1,53)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